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ndidate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<sst xmlns="http://schemas.openxmlformats.org/spreadsheetml/2006/main" count="389" uniqueCount="154">
  <si>
    <t xml:space="preserve">Recruitment &amp; Hiring Dashboard</t>
  </si>
  <si>
    <t xml:space="preserve">Pipeline status and hiring metrics — updates automatically from the Candidate Tracker sheet</t>
  </si>
  <si>
    <t xml:space="preserve">Total Candidates</t>
  </si>
  <si>
    <t xml:space="preserve">Screening Passed</t>
  </si>
  <si>
    <t xml:space="preserve">Interviews Completed</t>
  </si>
  <si>
    <t xml:space="preserve">Offers Extended</t>
  </si>
  <si>
    <t xml:space="preserve">Hired</t>
  </si>
  <si>
    <t xml:space="preserve">In Pipeline</t>
  </si>
  <si>
    <t xml:space="preserve">Hiring Pipeline Funnel</t>
  </si>
  <si>
    <t xml:space="preserve">Key Conversion Rates</t>
  </si>
  <si>
    <t xml:space="preserve">Stage</t>
  </si>
  <si>
    <t xml:space="preserve">Count</t>
  </si>
  <si>
    <t xml:space="preserve">% of Applied</t>
  </si>
  <si>
    <t xml:space="preserve">Metric</t>
  </si>
  <si>
    <t xml:space="preserve">Rate</t>
  </si>
  <si>
    <t xml:space="preserve">Applied</t>
  </si>
  <si>
    <t xml:space="preserve">Screening Pass Rate</t>
  </si>
  <si>
    <t xml:space="preserve">Screened (Passed)</t>
  </si>
  <si>
    <t xml:space="preserve">Interview Completion Rate</t>
  </si>
  <si>
    <t xml:space="preserve">Interview Completed</t>
  </si>
  <si>
    <t xml:space="preserve">Offer Rate (of Interviewed)</t>
  </si>
  <si>
    <t xml:space="preserve">Offer Extended</t>
  </si>
  <si>
    <t xml:space="preserve">Acceptance Rate (of Offers)</t>
  </si>
  <si>
    <t xml:space="preserve">Overall Hire Rate</t>
  </si>
  <si>
    <t xml:space="preserve">Candidates by Sourcing Channel</t>
  </si>
  <si>
    <t xml:space="preserve">Screening Status</t>
  </si>
  <si>
    <t xml:space="preserve">Interview Stage</t>
  </si>
  <si>
    <t xml:space="preserve">Final Outcome</t>
  </si>
  <si>
    <t xml:space="preserve">Channel</t>
  </si>
  <si>
    <t xml:space="preserve">Status</t>
  </si>
  <si>
    <t xml:space="preserve">Outcome</t>
  </si>
  <si>
    <t xml:space="preserve">LinkedIn</t>
  </si>
  <si>
    <t xml:space="preserve">Passed</t>
  </si>
  <si>
    <t xml:space="preserve">Not Scheduled</t>
  </si>
  <si>
    <t xml:space="preserve">Employee Referral</t>
  </si>
  <si>
    <t xml:space="preserve">Rejected</t>
  </si>
  <si>
    <t xml:space="preserve">HR Round</t>
  </si>
  <si>
    <t xml:space="preserve">Naukri.com</t>
  </si>
  <si>
    <t xml:space="preserve">In Progress</t>
  </si>
  <si>
    <t xml:space="preserve">Technical Round</t>
  </si>
  <si>
    <t xml:space="preserve">Company Website</t>
  </si>
  <si>
    <t xml:space="preserve">Not Started</t>
  </si>
  <si>
    <t xml:space="preserve">Managerial Round</t>
  </si>
  <si>
    <t xml:space="preserve">Withdrawn</t>
  </si>
  <si>
    <t xml:space="preserve">Campus Drive</t>
  </si>
  <si>
    <t xml:space="preserve">Final Round</t>
  </si>
  <si>
    <t xml:space="preserve">Indeed</t>
  </si>
  <si>
    <t xml:space="preserve">Completed</t>
  </si>
  <si>
    <t xml:space="preserve">Recruitment Agency</t>
  </si>
  <si>
    <t xml:space="preserve">All figures are calculated automatically from the Candidate Tracker sheet using COUNTIF/COUNTIFS formulas. Update or add rows there and this dashboard refreshes.</t>
  </si>
  <si>
    <t xml:space="preserve">Recruitment Candidate Tracker</t>
  </si>
  <si>
    <t xml:space="preserve">Mock hiring pipeline log — sourcing, screening, interview, and follow-up stages | Editable cells: rows 4+</t>
  </si>
  <si>
    <t xml:space="preserve">Candidate ID</t>
  </si>
  <si>
    <t xml:space="preserve">Candidate Name</t>
  </si>
  <si>
    <t xml:space="preserve">Position Applied</t>
  </si>
  <si>
    <t xml:space="preserve">Sourcing Channel</t>
  </si>
  <si>
    <t xml:space="preserve">Application Date</t>
  </si>
  <si>
    <t xml:space="preserve">Screening Date</t>
  </si>
  <si>
    <t xml:space="preserve">Interview Date</t>
  </si>
  <si>
    <t xml:space="preserve">Interviewer</t>
  </si>
  <si>
    <t xml:space="preserve">Follow-up Status</t>
  </si>
  <si>
    <t xml:space="preserve">Follow-up Date</t>
  </si>
  <si>
    <t xml:space="preserve">Offer Status</t>
  </si>
  <si>
    <t xml:space="preserve">Notes</t>
  </si>
  <si>
    <t xml:space="preserve">CAND-1001</t>
  </si>
  <si>
    <t xml:space="preserve">Aditya Trivedi</t>
  </si>
  <si>
    <t xml:space="preserve">Business Analyst</t>
  </si>
  <si>
    <t xml:space="preserve">Pending</t>
  </si>
  <si>
    <t xml:space="preserve">Not Applicable</t>
  </si>
  <si>
    <t xml:space="preserve">Good culture fit</t>
  </si>
  <si>
    <t xml:space="preserve">CAND-1002</t>
  </si>
  <si>
    <t xml:space="preserve">Diya Nair</t>
  </si>
  <si>
    <t xml:space="preserve">Sales Executive</t>
  </si>
  <si>
    <t xml:space="preserve">Excellent communication skills</t>
  </si>
  <si>
    <t xml:space="preserve">CAND-1003</t>
  </si>
  <si>
    <t xml:space="preserve">Karan Joshi</t>
  </si>
  <si>
    <t xml:space="preserve">Finance Associate</t>
  </si>
  <si>
    <t xml:space="preserve">No Response</t>
  </si>
  <si>
    <t xml:space="preserve">High potential, fast-track</t>
  </si>
  <si>
    <t xml:space="preserve">CAND-1004</t>
  </si>
  <si>
    <t xml:space="preserve">Aditya Gupta</t>
  </si>
  <si>
    <t xml:space="preserve">Customer Success Manager</t>
  </si>
  <si>
    <t xml:space="preserve">Rohit Sinha</t>
  </si>
  <si>
    <t xml:space="preserve">Offer Accepted</t>
  </si>
  <si>
    <t xml:space="preserve">CAND-1005</t>
  </si>
  <si>
    <t xml:space="preserve">Kabir Iyer</t>
  </si>
  <si>
    <t xml:space="preserve">Digital Marketing Specialist</t>
  </si>
  <si>
    <t xml:space="preserve">CAND-1006</t>
  </si>
  <si>
    <t xml:space="preserve">Kiara Menon</t>
  </si>
  <si>
    <t xml:space="preserve">Backup candidate for role</t>
  </si>
  <si>
    <t xml:space="preserve">CAND-1007</t>
  </si>
  <si>
    <t xml:space="preserve">Aman Malhotra</t>
  </si>
  <si>
    <t xml:space="preserve">HR Executive</t>
  </si>
  <si>
    <t xml:space="preserve">Sunita Rao</t>
  </si>
  <si>
    <t xml:space="preserve">CAND-1008</t>
  </si>
  <si>
    <t xml:space="preserve">Sneha Trivedi</t>
  </si>
  <si>
    <t xml:space="preserve">Karan Mehta</t>
  </si>
  <si>
    <t xml:space="preserve">Scheduled</t>
  </si>
  <si>
    <t xml:space="preserve">Strong technical fundamentals</t>
  </si>
  <si>
    <t xml:space="preserve">CAND-1009</t>
  </si>
  <si>
    <t xml:space="preserve">Simran Nair</t>
  </si>
  <si>
    <t xml:space="preserve">UI/UX Designer</t>
  </si>
  <si>
    <t xml:space="preserve">Requires second technical round</t>
  </si>
  <si>
    <t xml:space="preserve">CAND-1010</t>
  </si>
  <si>
    <t xml:space="preserve">Rahul Kapoor</t>
  </si>
  <si>
    <t xml:space="preserve">Ananya Das</t>
  </si>
  <si>
    <t xml:space="preserve">CAND-1011</t>
  </si>
  <si>
    <t xml:space="preserve">Kabir Trivedi</t>
  </si>
  <si>
    <t xml:space="preserve">CAND-1012</t>
  </si>
  <si>
    <t xml:space="preserve">Pooja Malhotra</t>
  </si>
  <si>
    <t xml:space="preserve">Priya Nair</t>
  </si>
  <si>
    <t xml:space="preserve">CAND-1013</t>
  </si>
  <si>
    <t xml:space="preserve">Varun Malhotra</t>
  </si>
  <si>
    <t xml:space="preserve">Software Engineer</t>
  </si>
  <si>
    <t xml:space="preserve">CAND-1014</t>
  </si>
  <si>
    <t xml:space="preserve">Ishaan Chopra</t>
  </si>
  <si>
    <t xml:space="preserve">Data Analyst</t>
  </si>
  <si>
    <t xml:space="preserve">CAND-1015</t>
  </si>
  <si>
    <t xml:space="preserve">Vikram Pillai</t>
  </si>
  <si>
    <t xml:space="preserve">Product Manager</t>
  </si>
  <si>
    <t xml:space="preserve">CAND-1016</t>
  </si>
  <si>
    <t xml:space="preserve">Rohan Desai</t>
  </si>
  <si>
    <t xml:space="preserve">CAND-1017</t>
  </si>
  <si>
    <t xml:space="preserve">Myra Agarwal</t>
  </si>
  <si>
    <t xml:space="preserve">CAND-1018</t>
  </si>
  <si>
    <t xml:space="preserve">Manav Sharma</t>
  </si>
  <si>
    <t xml:space="preserve">Awaiting manager feedback</t>
  </si>
  <si>
    <t xml:space="preserve">CAND-1019</t>
  </si>
  <si>
    <t xml:space="preserve">Ishaan Malhotra</t>
  </si>
  <si>
    <t xml:space="preserve">CAND-1020</t>
  </si>
  <si>
    <t xml:space="preserve">Neha Joshi</t>
  </si>
  <si>
    <t xml:space="preserve">Offer Declined</t>
  </si>
  <si>
    <t xml:space="preserve">Referred by internal team</t>
  </si>
  <si>
    <t xml:space="preserve">CAND-1021</t>
  </si>
  <si>
    <t xml:space="preserve">Yash Pillai</t>
  </si>
  <si>
    <t xml:space="preserve">CAND-1022</t>
  </si>
  <si>
    <t xml:space="preserve">Aditya Verma</t>
  </si>
  <si>
    <t xml:space="preserve">On Hold</t>
  </si>
  <si>
    <t xml:space="preserve">CAND-1023</t>
  </si>
  <si>
    <t xml:space="preserve">Neha Chopra</t>
  </si>
  <si>
    <t xml:space="preserve">CAND-1024</t>
  </si>
  <si>
    <t xml:space="preserve">Sanjay Pillai</t>
  </si>
  <si>
    <t xml:space="preserve">CAND-1025</t>
  </si>
  <si>
    <t xml:space="preserve">Aarav Trivedi</t>
  </si>
  <si>
    <t xml:space="preserve">CAND-1026</t>
  </si>
  <si>
    <t xml:space="preserve">Sneha Joshi</t>
  </si>
  <si>
    <t xml:space="preserve">CAND-1027</t>
  </si>
  <si>
    <t xml:space="preserve">Myra Gupta</t>
  </si>
  <si>
    <t xml:space="preserve">CAND-1028</t>
  </si>
  <si>
    <t xml:space="preserve">Ananya Agarwal</t>
  </si>
  <si>
    <t xml:space="preserve">CAND-1029</t>
  </si>
  <si>
    <t xml:space="preserve">Aditya Saxena</t>
  </si>
  <si>
    <t xml:space="preserve">CAND-1030</t>
  </si>
  <si>
    <t xml:space="preserve">Saanvi Kapoor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</si>
</sst>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dd\-mmm\-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1F3864"/>
        <bgColor rgb="FF2E539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1F3864"/>
      </font>
      <fill>
        <patternFill>
          <bgColor rgb="FFD9E2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73F3C"/>
      <rgbColor rgb="FFF9F9F9"/>
      <rgbColor rgb="FFF2F2F2"/>
      <rgbColor rgb="FF660066"/>
      <rgbColor rgb="FFCA7E7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DDB5B5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C0504D"/>
      <rgbColor rgb="FFB34A48"/>
      <rgbColor rgb="FF2E5395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Candidates by Sourcing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Dashboard!$A$20:$A$26</c:f>
              <c:strCache>
                <c:ptCount val="7"/>
                <c:pt idx="0">
                  <c:v>LinkedIn</c:v>
                </c:pt>
                <c:pt idx="1">
                  <c:v>Employee Referral</c:v>
                </c:pt>
                <c:pt idx="2">
                  <c:v>Naukri.com</c:v>
                </c:pt>
                <c:pt idx="3">
                  <c:v>Company Website</c:v>
                </c:pt>
                <c:pt idx="4">
                  <c:v>Campus Drive</c:v>
                </c:pt>
                <c:pt idx="5">
                  <c:v>Indeed</c:v>
                </c:pt>
                <c:pt idx="6">
                  <c:v>Recruitment Agency</c:v>
                </c:pt>
              </c:strCache>
            </c:strRef>
          </c:cat>
          <c:val>
            <c:numRef>
              <c:f>Dashboard!$B$20:$B$26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</c:ser>
        <c:gapWidth val="60"/>
        <c:overlap val="0"/>
        <c:axId val="62128896"/>
        <c:axId val="10926779"/>
      </c:barChart>
      <c:catAx>
        <c:axId val="6212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26779"/>
        <c:crosses val="autoZero"/>
        <c:auto val="1"/>
        <c:lblAlgn val="ctr"/>
        <c:lblOffset val="100"/>
        <c:noMultiLvlLbl val="0"/>
      </c:catAx>
      <c:valAx>
        <c:axId val="10926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28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Screening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Dashboard!$E$20:$E$23</c:f>
              <c:strCache>
                <c:ptCount val="4"/>
                <c:pt idx="0">
                  <c:v>Passed</c:v>
                </c:pt>
                <c:pt idx="1">
                  <c:v>Rejected</c:v>
                </c:pt>
                <c:pt idx="2">
                  <c:v>In Progress</c:v>
                </c:pt>
                <c:pt idx="3">
                  <c:v>Not Started</c:v>
                </c:pt>
              </c:strCache>
            </c:strRef>
          </c:cat>
          <c:val>
            <c:numRef>
              <c:f>Dashboard!$F$20:$F$23</c:f>
              <c:numCache>
                <c:formatCode>General</c:formatCode>
                <c:ptCount val="4"/>
                <c:pt idx="0">
                  <c:v>19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Candidates by Interview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Dashboard!$H$20:$H$25</c:f>
              <c:strCache>
                <c:ptCount val="6"/>
                <c:pt idx="0">
                  <c:v>Not Scheduled</c:v>
                </c:pt>
                <c:pt idx="1">
                  <c:v>HR Round</c:v>
                </c:pt>
                <c:pt idx="2">
                  <c:v>Technical Round</c:v>
                </c:pt>
                <c:pt idx="3">
                  <c:v>Managerial Round</c:v>
                </c:pt>
                <c:pt idx="4">
                  <c:v>Final Round</c:v>
                </c:pt>
                <c:pt idx="5">
                  <c:v>Completed</c:v>
                </c:pt>
              </c:strCache>
            </c:strRef>
          </c:cat>
          <c:val>
            <c:numRef>
              <c:f>Dashboard!$I$20:$I$25</c:f>
              <c:numCache>
                <c:formatCode>General</c:formatCode>
                <c:ptCount val="6"/>
                <c:pt idx="0">
                  <c:v>11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</c:numCache>
            </c:numRef>
          </c:val>
        </c:ser>
        <c:gapWidth val="40"/>
        <c:overlap val="0"/>
        <c:axId val="93691239"/>
        <c:axId val="35545867"/>
      </c:barChart>
      <c:catAx>
        <c:axId val="9369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45867"/>
        <c:crosses val="autoZero"/>
        <c:auto val="1"/>
        <c:lblAlgn val="ctr"/>
        <c:lblOffset val="100"/>
        <c:noMultiLvlLbl val="0"/>
      </c:catAx>
      <c:valAx>
        <c:axId val="35545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912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Final Outcome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Dashboard!L19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973f3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b34a4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a7e7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ddb5b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Dashboard!$K$20:$K$23</c:f>
              <c:strCache>
                <c:ptCount val="4"/>
                <c:pt idx="0">
                  <c:v>In Pipeline</c:v>
                </c:pt>
                <c:pt idx="1">
                  <c:v>Hired</c:v>
                </c:pt>
                <c:pt idx="2">
                  <c:v>Rejected</c:v>
                </c:pt>
                <c:pt idx="3">
                  <c:v>Withdrawn</c:v>
                </c:pt>
              </c:strCache>
            </c:strRef>
          </c:cat>
          <c:val>
            <c:numRef>
              <c:f>Dashboard!$L$20:$L$23</c:f>
              <c:numCache>
                <c:formatCode>General</c:formatCode>
                <c:ptCount val="4"/>
                <c:pt idx="0">
                  <c:v>18</c:v>
                </c:pt>
                <c:pt idx="1">
                  <c:v>4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9360</xdr:rowOff>
    </xdr:from>
    <xdr:to>
      <xdr:col>5</xdr:col>
      <xdr:colOff>465840</xdr:colOff>
      <xdr:row>40</xdr:row>
      <xdr:rowOff>99000</xdr:rowOff>
    </xdr:to>
    <xdr:graphicFrame>
      <xdr:nvGraphicFramePr>
        <xdr:cNvPr id="0" name="Chart 1"/>
        <xdr:cNvGraphicFramePr/>
      </xdr:nvGraphicFramePr>
      <xdr:xfrm>
        <a:off x="0" y="57243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25</xdr:row>
      <xdr:rowOff>9360</xdr:rowOff>
    </xdr:from>
    <xdr:to>
      <xdr:col>9</xdr:col>
      <xdr:colOff>372240</xdr:colOff>
      <xdr:row>40</xdr:row>
      <xdr:rowOff>99000</xdr:rowOff>
    </xdr:to>
    <xdr:graphicFrame>
      <xdr:nvGraphicFramePr>
        <xdr:cNvPr id="1" name="Chart 2"/>
        <xdr:cNvGraphicFramePr/>
      </xdr:nvGraphicFramePr>
      <xdr:xfrm>
        <a:off x="4933800" y="57243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42</xdr:row>
      <xdr:rowOff>87480</xdr:rowOff>
    </xdr:from>
    <xdr:to>
      <xdr:col>5</xdr:col>
      <xdr:colOff>465840</xdr:colOff>
      <xdr:row>58</xdr:row>
      <xdr:rowOff>99000</xdr:rowOff>
    </xdr:to>
    <xdr:graphicFrame>
      <xdr:nvGraphicFramePr>
        <xdr:cNvPr id="2" name="Chart 3"/>
        <xdr:cNvGraphicFramePr/>
      </xdr:nvGraphicFramePr>
      <xdr:xfrm>
        <a:off x="0" y="91533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42</xdr:row>
      <xdr:rowOff>87480</xdr:rowOff>
    </xdr:from>
    <xdr:to>
      <xdr:col>9</xdr:col>
      <xdr:colOff>372240</xdr:colOff>
      <xdr:row>58</xdr:row>
      <xdr:rowOff>99000</xdr:rowOff>
    </xdr:to>
    <xdr:graphicFrame>
      <xdr:nvGraphicFramePr>
        <xdr:cNvPr id="3" name="Chart 4"/>
        <xdr:cNvGraphicFramePr/>
      </xdr:nvGraphicFramePr>
      <xdr:xfrm>
        <a:off x="4933800" y="91533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  <c r="K4" s="4" t="s">
        <v>7</v>
      </c>
      <c r="L4" s="4"/>
    </row>
    <row r="5" customFormat="false" ht="30" hidden="false" customHeight="true" outlineLevel="0" collapsed="false">
      <c r="A5" s="5" t="n">
        <f aca="false">COUNTA('Candidate Tracker'!$A$4:$A$153)</f>
        <v>30</v>
      </c>
      <c r="B5" s="5"/>
      <c r="C5" s="5" t="n">
        <f aca="false">COUNTIF('Candidate Tracker'!$F$4:$F$153,"Passed")</f>
        <v>19</v>
      </c>
      <c r="D5" s="5"/>
      <c r="E5" s="5" t="n">
        <f aca="false">COUNTIF('Candidate Tracker'!$H$4:$H$153,"Completed")</f>
        <v>9</v>
      </c>
      <c r="F5" s="5"/>
      <c r="G5" s="5" t="n">
        <f aca="false">COUNTIFS('Candidate Tracker'!$M$4:$M$153,"&lt;&gt;Not Applicable",'Candidate Tracker'!$M$4:$M$153,"&lt;&gt;")</f>
        <v>7</v>
      </c>
      <c r="H5" s="5"/>
      <c r="I5" s="5" t="n">
        <f aca="false">COUNTIF('Candidate Tracker'!$N$4:$N$153,"Hired")</f>
        <v>4</v>
      </c>
      <c r="J5" s="5"/>
      <c r="K5" s="5" t="n">
        <f aca="false">COUNTIF('Candidate Tracker'!$N$4:$N$153,"In Pipeline")</f>
        <v>18</v>
      </c>
      <c r="L5" s="5"/>
    </row>
    <row r="6" customFormat="false" ht="19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9" customFormat="false" ht="19.5" hidden="false" customHeight="true" outlineLevel="0" collapsed="false">
      <c r="A9" s="6" t="s">
        <v>8</v>
      </c>
      <c r="B9" s="6"/>
      <c r="C9" s="6"/>
      <c r="D9" s="6"/>
      <c r="F9" s="6" t="s">
        <v>9</v>
      </c>
      <c r="G9" s="6"/>
      <c r="H9" s="6"/>
    </row>
    <row r="10" customFormat="false" ht="15" hidden="false" customHeight="false" outlineLevel="0" collapsed="false">
      <c r="A10" s="7" t="s">
        <v>10</v>
      </c>
      <c r="B10" s="7" t="s">
        <v>11</v>
      </c>
      <c r="C10" s="7" t="s">
        <v>12</v>
      </c>
      <c r="F10" s="8" t="s">
        <v>13</v>
      </c>
      <c r="G10" s="8"/>
      <c r="H10" s="8" t="s">
        <v>14</v>
      </c>
    </row>
    <row r="11" customFormat="false" ht="15" hidden="false" customHeight="true" outlineLevel="0" collapsed="false">
      <c r="A11" s="9" t="s">
        <v>15</v>
      </c>
      <c r="B11" s="10" t="n">
        <f aca="false">COUNTA('Candidate Tracker'!$A$4:$A$153)</f>
        <v>30</v>
      </c>
      <c r="C11" s="11" t="n">
        <f aca="false">IFERROR(B11/$B$11,0)</f>
        <v>1</v>
      </c>
      <c r="F11" s="9" t="s">
        <v>16</v>
      </c>
      <c r="G11" s="9"/>
      <c r="H11" s="12" t="n">
        <f aca="false">IFERROR(COUNTIF('Candidate Tracker'!$F$4:$F$153,"Passed")/COUNTA('Candidate Tracker'!$A$4:$A$153),0)</f>
        <v>0.633333333333333</v>
      </c>
    </row>
    <row r="12" customFormat="false" ht="23.85" hidden="false" customHeight="true" outlineLevel="0" collapsed="false">
      <c r="A12" s="9" t="s">
        <v>17</v>
      </c>
      <c r="B12" s="10" t="n">
        <f aca="false">COUNTIF('Candidate Tracker'!$F$4:$F$153,"Passed")</f>
        <v>19</v>
      </c>
      <c r="C12" s="11" t="n">
        <f aca="false">IFERROR(B12/$B$11,0)</f>
        <v>0.633333333333333</v>
      </c>
      <c r="F12" s="9" t="s">
        <v>18</v>
      </c>
      <c r="G12" s="9"/>
      <c r="H12" s="12" t="n">
        <f aca="false">IFERROR(COUNTIF('Candidate Tracker'!$H$4:$H$153,"Completed")/COUNTIF('Candidate Tracker'!$F$4:$F$153,"Passed"),0)</f>
        <v>0.473684210526316</v>
      </c>
    </row>
    <row r="13" customFormat="false" ht="23.85" hidden="false" customHeight="true" outlineLevel="0" collapsed="false">
      <c r="A13" s="9" t="s">
        <v>19</v>
      </c>
      <c r="B13" s="10" t="n">
        <f aca="false">COUNTIF('Candidate Tracker'!$H$4:$H$153,"Completed")</f>
        <v>9</v>
      </c>
      <c r="C13" s="11" t="n">
        <f aca="false">IFERROR(B13/$B$11,0)</f>
        <v>0.3</v>
      </c>
      <c r="F13" s="9" t="s">
        <v>20</v>
      </c>
      <c r="G13" s="9"/>
      <c r="H13" s="12" t="n">
        <f aca="false">IFERROR(COUNTIFS('Candidate Tracker'!$M$4:$M$153,"&lt;&gt;Not Applicable",'Candidate Tracker'!$M$4:$M$153,"&lt;&gt;")/COUNTIF('Candidate Tracker'!$H$4:$H$153,"Completed"),0)</f>
        <v>0.777777777777778</v>
      </c>
    </row>
    <row r="14" customFormat="false" ht="15" hidden="false" customHeight="true" outlineLevel="0" collapsed="false">
      <c r="A14" s="9" t="s">
        <v>21</v>
      </c>
      <c r="B14" s="10" t="n">
        <f aca="false">COUNTIFS('Candidate Tracker'!$M$4:$M$153,"&lt;&gt;Not Applicable",'Candidate Tracker'!$M$4:$M$153,"&lt;&gt;")</f>
        <v>7</v>
      </c>
      <c r="C14" s="11" t="n">
        <f aca="false">IFERROR(B14/$B$11,0)</f>
        <v>0.233333333333333</v>
      </c>
      <c r="F14" s="9" t="s">
        <v>22</v>
      </c>
      <c r="G14" s="9"/>
      <c r="H14" s="12" t="n">
        <f aca="false">IFERROR(COUNTIF('Candidate Tracker'!$M$4:$M$153,"Offer Accepted")/COUNTIFS('Candidate Tracker'!$M$4:$M$153,"&lt;&gt;Not Applicable",'Candidate Tracker'!$M$4:$M$153,"&lt;&gt;"),0)</f>
        <v>0.571428571428571</v>
      </c>
    </row>
    <row r="15" customFormat="false" ht="15" hidden="false" customHeight="true" outlineLevel="0" collapsed="false">
      <c r="A15" s="9" t="s">
        <v>6</v>
      </c>
      <c r="B15" s="10" t="n">
        <f aca="false">COUNTIF('Candidate Tracker'!$N$4:$N$153,"Hired")</f>
        <v>4</v>
      </c>
      <c r="C15" s="11" t="n">
        <f aca="false">IFERROR(B15/$B$11,0)</f>
        <v>0.133333333333333</v>
      </c>
      <c r="F15" s="9" t="s">
        <v>23</v>
      </c>
      <c r="G15" s="9"/>
      <c r="H15" s="12" t="n">
        <f aca="false">IFERROR(COUNTIF('Candidate Tracker'!$N$4:$N$153,"Hired")/COUNTA('Candidate Tracker'!$A$4:$A$153),0)</f>
        <v>0.133333333333333</v>
      </c>
    </row>
    <row r="18" customFormat="false" ht="15" hidden="false" customHeight="true" outlineLevel="0" collapsed="false">
      <c r="A18" s="6" t="s">
        <v>24</v>
      </c>
      <c r="B18" s="6"/>
      <c r="C18" s="6"/>
      <c r="E18" s="6" t="s">
        <v>25</v>
      </c>
      <c r="F18" s="6"/>
      <c r="H18" s="6" t="s">
        <v>26</v>
      </c>
      <c r="I18" s="6"/>
      <c r="K18" s="6" t="s">
        <v>27</v>
      </c>
      <c r="L18" s="6"/>
    </row>
    <row r="19" customFormat="false" ht="15" hidden="false" customHeight="false" outlineLevel="0" collapsed="false">
      <c r="A19" s="8" t="s">
        <v>28</v>
      </c>
      <c r="B19" s="8" t="s">
        <v>11</v>
      </c>
      <c r="E19" s="8" t="s">
        <v>29</v>
      </c>
      <c r="F19" s="8" t="s">
        <v>11</v>
      </c>
      <c r="H19" s="8" t="s">
        <v>10</v>
      </c>
      <c r="I19" s="8" t="s">
        <v>11</v>
      </c>
      <c r="K19" s="8" t="s">
        <v>30</v>
      </c>
      <c r="L19" s="8" t="s">
        <v>11</v>
      </c>
    </row>
    <row r="20" customFormat="false" ht="15" hidden="false" customHeight="false" outlineLevel="0" collapsed="false">
      <c r="A20" s="9" t="s">
        <v>31</v>
      </c>
      <c r="B20" s="10" t="n">
        <f aca="false">COUNTIF('Candidate Tracker'!$D$4:$D$153,A20)</f>
        <v>5</v>
      </c>
      <c r="E20" s="9" t="s">
        <v>32</v>
      </c>
      <c r="F20" s="10" t="n">
        <f aca="false">COUNTIF('Candidate Tracker'!$F$4:$F$153,E20)</f>
        <v>19</v>
      </c>
      <c r="H20" s="9" t="s">
        <v>33</v>
      </c>
      <c r="I20" s="10" t="n">
        <f aca="false">COUNTIF('Candidate Tracker'!$H$4:$H$153,$H$20)</f>
        <v>11</v>
      </c>
      <c r="K20" s="9" t="s">
        <v>7</v>
      </c>
      <c r="L20" s="10" t="n">
        <f aca="false">COUNTIF('Candidate Tracker'!$N$4:$N$153,$K$20)</f>
        <v>18</v>
      </c>
    </row>
    <row r="21" customFormat="false" ht="23.85" hidden="false" customHeight="false" outlineLevel="0" collapsed="false">
      <c r="A21" s="9" t="s">
        <v>34</v>
      </c>
      <c r="B21" s="10" t="n">
        <f aca="false">COUNTIF('Candidate Tracker'!$D$4:$D$153,A21)</f>
        <v>6</v>
      </c>
      <c r="E21" s="9" t="s">
        <v>35</v>
      </c>
      <c r="F21" s="10" t="n">
        <f aca="false">COUNTIF('Candidate Tracker'!$F$4:$F$153,E21)</f>
        <v>5</v>
      </c>
      <c r="H21" s="9" t="s">
        <v>36</v>
      </c>
      <c r="I21" s="10" t="n">
        <f aca="false">COUNTIF('Candidate Tracker'!$H$4:$H$153,$H$21)</f>
        <v>3</v>
      </c>
      <c r="K21" s="9" t="s">
        <v>6</v>
      </c>
      <c r="L21" s="10" t="n">
        <f aca="false">COUNTIF('Candidate Tracker'!$N$4:$N$153,$K$21)</f>
        <v>4</v>
      </c>
    </row>
    <row r="22" customFormat="false" ht="23.85" hidden="false" customHeight="false" outlineLevel="0" collapsed="false">
      <c r="A22" s="9" t="s">
        <v>37</v>
      </c>
      <c r="B22" s="10" t="n">
        <f aca="false">COUNTIF('Candidate Tracker'!$D$4:$D$153,A22)</f>
        <v>4</v>
      </c>
      <c r="E22" s="9" t="s">
        <v>38</v>
      </c>
      <c r="F22" s="10" t="n">
        <f aca="false">COUNTIF('Candidate Tracker'!$F$4:$F$153,E22)</f>
        <v>3</v>
      </c>
      <c r="H22" s="9" t="s">
        <v>39</v>
      </c>
      <c r="I22" s="10" t="n">
        <f aca="false">COUNTIF('Candidate Tracker'!$H$4:$H$153,$H$22)</f>
        <v>3</v>
      </c>
      <c r="K22" s="9" t="s">
        <v>35</v>
      </c>
      <c r="L22" s="10" t="n">
        <f aca="false">COUNTIF('Candidate Tracker'!$N$4:$N$153,$K$22)</f>
        <v>7</v>
      </c>
    </row>
    <row r="23" customFormat="false" ht="23.85" hidden="false" customHeight="false" outlineLevel="0" collapsed="false">
      <c r="A23" s="9" t="s">
        <v>40</v>
      </c>
      <c r="B23" s="10" t="n">
        <f aca="false">COUNTIF('Candidate Tracker'!$D$4:$D$153,A23)</f>
        <v>2</v>
      </c>
      <c r="E23" s="9" t="s">
        <v>41</v>
      </c>
      <c r="F23" s="10" t="n">
        <f aca="false">COUNTIF('Candidate Tracker'!$F$4:$F$153,E23)</f>
        <v>3</v>
      </c>
      <c r="H23" s="9" t="s">
        <v>42</v>
      </c>
      <c r="I23" s="10" t="n">
        <f aca="false">COUNTIF('Candidate Tracker'!$H$4:$H$153,$H$23)</f>
        <v>2</v>
      </c>
      <c r="K23" s="9" t="s">
        <v>43</v>
      </c>
      <c r="L23" s="10" t="n">
        <f aca="false">COUNTIF('Candidate Tracker'!$N$4:$N$153,$K$23)</f>
        <v>1</v>
      </c>
    </row>
    <row r="24" customFormat="false" ht="15" hidden="false" customHeight="false" outlineLevel="0" collapsed="false">
      <c r="A24" s="9" t="s">
        <v>44</v>
      </c>
      <c r="B24" s="10" t="n">
        <f aca="false">COUNTIF('Candidate Tracker'!$D$4:$D$153,A24)</f>
        <v>5</v>
      </c>
      <c r="H24" s="9" t="s">
        <v>45</v>
      </c>
      <c r="I24" s="10" t="n">
        <f aca="false">COUNTIF('Candidate Tracker'!$H$4:$H$153,$H$24)</f>
        <v>2</v>
      </c>
    </row>
    <row r="25" customFormat="false" ht="15" hidden="false" customHeight="false" outlineLevel="0" collapsed="false">
      <c r="A25" s="9" t="s">
        <v>46</v>
      </c>
      <c r="B25" s="10" t="n">
        <f aca="false">COUNTIF('Candidate Tracker'!$D$4:$D$153,A25)</f>
        <v>6</v>
      </c>
      <c r="H25" s="9" t="s">
        <v>47</v>
      </c>
      <c r="I25" s="10" t="n">
        <f aca="false">COUNTIF('Candidate Tracker'!$H$4:$H$153,$H$25)</f>
        <v>9</v>
      </c>
    </row>
    <row r="26" customFormat="false" ht="23.85" hidden="false" customHeight="false" outlineLevel="0" collapsed="false">
      <c r="A26" s="9" t="s">
        <v>48</v>
      </c>
      <c r="B26" s="10" t="n">
        <f aca="false">COUNTIF('Candidate Tracker'!$D$4:$D$153,A26)</f>
        <v>2</v>
      </c>
    </row>
    <row r="65" customFormat="false" ht="15" hidden="false" customHeight="true" outlineLevel="0" collapsed="false">
      <c r="A65" s="13" t="s">
        <v>49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</sheetData>
  <mergeCells count="33"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9:D9"/>
    <mergeCell ref="F9:H9"/>
    <mergeCell ref="F10:G10"/>
    <mergeCell ref="F11:G11"/>
    <mergeCell ref="F12:G12"/>
    <mergeCell ref="F13:G13"/>
    <mergeCell ref="F14:G14"/>
    <mergeCell ref="F15:G15"/>
    <mergeCell ref="A18:C18"/>
    <mergeCell ref="E18:F18"/>
    <mergeCell ref="H18:I18"/>
    <mergeCell ref="K18:L18"/>
    <mergeCell ref="A65:L65"/>
  </mergeCells>
  <conditionalFormatting sqref="B11:B15">
    <cfRule type="dataBar" priority="2">
      <dataBar showValue="1" minLength="10" maxLength="90">
        <cfvo type="num" val="0"/>
        <cfvo type="max" val="0"/>
        <color rgb="FF2E5395"/>
      </dataBar>
      <extLst>
        <ext xmlns:x14="http://schemas.microsoft.com/office/spreadsheetml/2009/9/main" uri="{B025F937-C7B1-47D3-B67F-A62EFF666E3E}">
          <x14:id>{D335B350-AEC3-4334-9184-16DFE7CF7B59}</x14:id>
        </ext>
      </extLst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35B350-AEC3-4334-9184-16DFE7CF7B59}">
            <x14:dataBar minLength="10" maxLength="90" axisPosition="none" gradient="true">
              <x14:cfvo type="num">
                <xm:f>0</xm:f>
              </x14:cfvo>
              <x14:cfvo type="max"/>
              <x14:negativeFillColor rgb="FF2E5395"/>
              <x14:axisColor rgb="FF000000"/>
            </x14:dataBar>
          </x14:cfRule>
          <xm:sqref>B11:B15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4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5.7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1.5" hidden="false" customHeight="true" outlineLevel="0" collapsed="false">
      <c r="A3" s="15" t="s">
        <v>52</v>
      </c>
      <c r="B3" s="15" t="s">
        <v>53</v>
      </c>
      <c r="C3" s="15" t="s">
        <v>54</v>
      </c>
      <c r="D3" s="15" t="s">
        <v>55</v>
      </c>
      <c r="E3" s="15" t="s">
        <v>56</v>
      </c>
      <c r="F3" s="15" t="s">
        <v>25</v>
      </c>
      <c r="G3" s="15" t="s">
        <v>57</v>
      </c>
      <c r="H3" s="15" t="s">
        <v>26</v>
      </c>
      <c r="I3" s="15" t="s">
        <v>58</v>
      </c>
      <c r="J3" s="15" t="s">
        <v>59</v>
      </c>
      <c r="K3" s="15" t="s">
        <v>60</v>
      </c>
      <c r="L3" s="15" t="s">
        <v>61</v>
      </c>
      <c r="M3" s="15" t="s">
        <v>62</v>
      </c>
      <c r="N3" s="15" t="s">
        <v>27</v>
      </c>
      <c r="O3" s="15" t="s">
        <v>63</v>
      </c>
    </row>
    <row r="4" customFormat="false" ht="15" hidden="false" customHeight="false" outlineLevel="0" collapsed="false">
      <c r="A4" s="10" t="s">
        <v>64</v>
      </c>
      <c r="B4" s="9" t="s">
        <v>65</v>
      </c>
      <c r="C4" s="9" t="s">
        <v>66</v>
      </c>
      <c r="D4" s="16" t="s">
        <v>31</v>
      </c>
      <c r="E4" s="17" t="n">
        <v>46146</v>
      </c>
      <c r="F4" s="16" t="s">
        <v>41</v>
      </c>
      <c r="G4" s="10"/>
      <c r="H4" s="16" t="s">
        <v>33</v>
      </c>
      <c r="I4" s="10"/>
      <c r="J4" s="10"/>
      <c r="K4" s="16" t="s">
        <v>67</v>
      </c>
      <c r="L4" s="10"/>
      <c r="M4" s="16" t="s">
        <v>68</v>
      </c>
      <c r="N4" s="16" t="s">
        <v>7</v>
      </c>
      <c r="O4" s="9" t="s">
        <v>69</v>
      </c>
    </row>
    <row r="5" customFormat="false" ht="15" hidden="false" customHeight="false" outlineLevel="0" collapsed="false">
      <c r="A5" s="18" t="s">
        <v>70</v>
      </c>
      <c r="B5" s="19" t="s">
        <v>71</v>
      </c>
      <c r="C5" s="19" t="s">
        <v>72</v>
      </c>
      <c r="D5" s="18" t="s">
        <v>44</v>
      </c>
      <c r="E5" s="20" t="n">
        <v>46146</v>
      </c>
      <c r="F5" s="18" t="s">
        <v>38</v>
      </c>
      <c r="G5" s="20" t="n">
        <v>46154</v>
      </c>
      <c r="H5" s="18" t="s">
        <v>33</v>
      </c>
      <c r="I5" s="18"/>
      <c r="J5" s="18"/>
      <c r="K5" s="18" t="s">
        <v>67</v>
      </c>
      <c r="L5" s="18"/>
      <c r="M5" s="18" t="s">
        <v>68</v>
      </c>
      <c r="N5" s="18" t="s">
        <v>7</v>
      </c>
      <c r="O5" s="19" t="s">
        <v>73</v>
      </c>
    </row>
    <row r="6" customFormat="false" ht="15" hidden="false" customHeight="false" outlineLevel="0" collapsed="false">
      <c r="A6" s="10" t="s">
        <v>74</v>
      </c>
      <c r="B6" s="9" t="s">
        <v>75</v>
      </c>
      <c r="C6" s="9" t="s">
        <v>76</v>
      </c>
      <c r="D6" s="16" t="s">
        <v>37</v>
      </c>
      <c r="E6" s="17" t="n">
        <v>46148</v>
      </c>
      <c r="F6" s="16" t="s">
        <v>35</v>
      </c>
      <c r="G6" s="17" t="n">
        <v>46155</v>
      </c>
      <c r="H6" s="16" t="s">
        <v>33</v>
      </c>
      <c r="I6" s="10"/>
      <c r="J6" s="10"/>
      <c r="K6" s="16" t="s">
        <v>77</v>
      </c>
      <c r="L6" s="10"/>
      <c r="M6" s="16" t="s">
        <v>68</v>
      </c>
      <c r="N6" s="16" t="s">
        <v>35</v>
      </c>
      <c r="O6" s="9" t="s">
        <v>78</v>
      </c>
    </row>
    <row r="7" customFormat="false" ht="23.85" hidden="false" customHeight="false" outlineLevel="0" collapsed="false">
      <c r="A7" s="18" t="s">
        <v>79</v>
      </c>
      <c r="B7" s="19" t="s">
        <v>80</v>
      </c>
      <c r="C7" s="19" t="s">
        <v>81</v>
      </c>
      <c r="D7" s="18" t="s">
        <v>48</v>
      </c>
      <c r="E7" s="20" t="n">
        <v>46151</v>
      </c>
      <c r="F7" s="18" t="s">
        <v>32</v>
      </c>
      <c r="G7" s="20" t="n">
        <v>46159</v>
      </c>
      <c r="H7" s="18" t="s">
        <v>47</v>
      </c>
      <c r="I7" s="20" t="n">
        <v>46171</v>
      </c>
      <c r="J7" s="18" t="s">
        <v>82</v>
      </c>
      <c r="K7" s="18" t="s">
        <v>47</v>
      </c>
      <c r="L7" s="20" t="n">
        <v>46173</v>
      </c>
      <c r="M7" s="18" t="s">
        <v>83</v>
      </c>
      <c r="N7" s="18" t="s">
        <v>6</v>
      </c>
      <c r="O7" s="19"/>
    </row>
    <row r="8" customFormat="false" ht="23.85" hidden="false" customHeight="false" outlineLevel="0" collapsed="false">
      <c r="A8" s="10" t="s">
        <v>84</v>
      </c>
      <c r="B8" s="9" t="s">
        <v>85</v>
      </c>
      <c r="C8" s="9" t="s">
        <v>86</v>
      </c>
      <c r="D8" s="16" t="s">
        <v>31</v>
      </c>
      <c r="E8" s="17" t="n">
        <v>46154</v>
      </c>
      <c r="F8" s="16" t="s">
        <v>35</v>
      </c>
      <c r="G8" s="17" t="n">
        <v>46160</v>
      </c>
      <c r="H8" s="16" t="s">
        <v>33</v>
      </c>
      <c r="I8" s="10"/>
      <c r="J8" s="10"/>
      <c r="K8" s="16" t="s">
        <v>77</v>
      </c>
      <c r="L8" s="10"/>
      <c r="M8" s="16" t="s">
        <v>68</v>
      </c>
      <c r="N8" s="16" t="s">
        <v>35</v>
      </c>
      <c r="O8" s="9" t="s">
        <v>69</v>
      </c>
    </row>
    <row r="9" customFormat="false" ht="15" hidden="false" customHeight="false" outlineLevel="0" collapsed="false">
      <c r="A9" s="18" t="s">
        <v>87</v>
      </c>
      <c r="B9" s="19" t="s">
        <v>88</v>
      </c>
      <c r="C9" s="19" t="s">
        <v>76</v>
      </c>
      <c r="D9" s="18" t="s">
        <v>34</v>
      </c>
      <c r="E9" s="20" t="n">
        <v>46162</v>
      </c>
      <c r="F9" s="18" t="s">
        <v>32</v>
      </c>
      <c r="G9" s="20" t="n">
        <v>46167</v>
      </c>
      <c r="H9" s="18" t="s">
        <v>47</v>
      </c>
      <c r="I9" s="20" t="n">
        <v>46179</v>
      </c>
      <c r="J9" s="18" t="s">
        <v>82</v>
      </c>
      <c r="K9" s="18" t="s">
        <v>47</v>
      </c>
      <c r="L9" s="20" t="n">
        <v>46179</v>
      </c>
      <c r="M9" s="18" t="s">
        <v>83</v>
      </c>
      <c r="N9" s="18" t="s">
        <v>6</v>
      </c>
      <c r="O9" s="19" t="s">
        <v>89</v>
      </c>
    </row>
    <row r="10" customFormat="false" ht="15" hidden="false" customHeight="false" outlineLevel="0" collapsed="false">
      <c r="A10" s="10" t="s">
        <v>90</v>
      </c>
      <c r="B10" s="9" t="s">
        <v>91</v>
      </c>
      <c r="C10" s="9" t="s">
        <v>92</v>
      </c>
      <c r="D10" s="16" t="s">
        <v>46</v>
      </c>
      <c r="E10" s="17" t="n">
        <v>46163</v>
      </c>
      <c r="F10" s="16" t="s">
        <v>32</v>
      </c>
      <c r="G10" s="17" t="n">
        <v>46173</v>
      </c>
      <c r="H10" s="16" t="s">
        <v>42</v>
      </c>
      <c r="I10" s="17" t="n">
        <v>46179</v>
      </c>
      <c r="J10" s="10" t="s">
        <v>93</v>
      </c>
      <c r="K10" s="16" t="s">
        <v>67</v>
      </c>
      <c r="L10" s="10"/>
      <c r="M10" s="16" t="s">
        <v>68</v>
      </c>
      <c r="N10" s="16" t="s">
        <v>7</v>
      </c>
      <c r="O10" s="9" t="s">
        <v>69</v>
      </c>
    </row>
    <row r="11" customFormat="false" ht="15" hidden="false" customHeight="false" outlineLevel="0" collapsed="false">
      <c r="A11" s="18" t="s">
        <v>94</v>
      </c>
      <c r="B11" s="19" t="s">
        <v>95</v>
      </c>
      <c r="C11" s="19" t="s">
        <v>66</v>
      </c>
      <c r="D11" s="18" t="s">
        <v>37</v>
      </c>
      <c r="E11" s="20" t="n">
        <v>46171</v>
      </c>
      <c r="F11" s="18" t="s">
        <v>32</v>
      </c>
      <c r="G11" s="20" t="n">
        <v>46173</v>
      </c>
      <c r="H11" s="18" t="s">
        <v>39</v>
      </c>
      <c r="I11" s="20" t="n">
        <v>46181</v>
      </c>
      <c r="J11" s="18" t="s">
        <v>96</v>
      </c>
      <c r="K11" s="18" t="s">
        <v>97</v>
      </c>
      <c r="L11" s="20" t="n">
        <v>46182</v>
      </c>
      <c r="M11" s="18" t="s">
        <v>68</v>
      </c>
      <c r="N11" s="18" t="s">
        <v>7</v>
      </c>
      <c r="O11" s="19" t="s">
        <v>98</v>
      </c>
    </row>
    <row r="12" customFormat="false" ht="15" hidden="false" customHeight="false" outlineLevel="0" collapsed="false">
      <c r="A12" s="10" t="s">
        <v>99</v>
      </c>
      <c r="B12" s="9" t="s">
        <v>100</v>
      </c>
      <c r="C12" s="9" t="s">
        <v>101</v>
      </c>
      <c r="D12" s="16" t="s">
        <v>31</v>
      </c>
      <c r="E12" s="17" t="n">
        <v>46172</v>
      </c>
      <c r="F12" s="16" t="s">
        <v>35</v>
      </c>
      <c r="G12" s="17" t="n">
        <v>46173</v>
      </c>
      <c r="H12" s="16" t="s">
        <v>33</v>
      </c>
      <c r="I12" s="10"/>
      <c r="J12" s="10"/>
      <c r="K12" s="16" t="s">
        <v>77</v>
      </c>
      <c r="L12" s="10"/>
      <c r="M12" s="16" t="s">
        <v>68</v>
      </c>
      <c r="N12" s="16" t="s">
        <v>35</v>
      </c>
      <c r="O12" s="9" t="s">
        <v>102</v>
      </c>
    </row>
    <row r="13" customFormat="false" ht="15" hidden="false" customHeight="false" outlineLevel="0" collapsed="false">
      <c r="A13" s="18" t="s">
        <v>103</v>
      </c>
      <c r="B13" s="19" t="s">
        <v>104</v>
      </c>
      <c r="C13" s="19" t="s">
        <v>101</v>
      </c>
      <c r="D13" s="18" t="s">
        <v>34</v>
      </c>
      <c r="E13" s="20" t="n">
        <v>46174</v>
      </c>
      <c r="F13" s="18" t="s">
        <v>32</v>
      </c>
      <c r="G13" s="20" t="n">
        <v>46182</v>
      </c>
      <c r="H13" s="18" t="s">
        <v>39</v>
      </c>
      <c r="I13" s="20" t="n">
        <v>46190</v>
      </c>
      <c r="J13" s="18" t="s">
        <v>105</v>
      </c>
      <c r="K13" s="18" t="s">
        <v>97</v>
      </c>
      <c r="L13" s="20" t="n">
        <v>46199</v>
      </c>
      <c r="M13" s="18" t="s">
        <v>68</v>
      </c>
      <c r="N13" s="18" t="s">
        <v>7</v>
      </c>
      <c r="O13" s="19" t="s">
        <v>102</v>
      </c>
    </row>
    <row r="14" customFormat="false" ht="15" hidden="false" customHeight="false" outlineLevel="0" collapsed="false">
      <c r="A14" s="10" t="s">
        <v>106</v>
      </c>
      <c r="B14" s="9" t="s">
        <v>107</v>
      </c>
      <c r="C14" s="9" t="s">
        <v>76</v>
      </c>
      <c r="D14" s="16" t="s">
        <v>40</v>
      </c>
      <c r="E14" s="17" t="n">
        <v>46174</v>
      </c>
      <c r="F14" s="16" t="s">
        <v>32</v>
      </c>
      <c r="G14" s="17" t="n">
        <v>46181</v>
      </c>
      <c r="H14" s="16" t="s">
        <v>47</v>
      </c>
      <c r="I14" s="17" t="n">
        <v>46193</v>
      </c>
      <c r="J14" s="10" t="s">
        <v>96</v>
      </c>
      <c r="K14" s="16" t="s">
        <v>77</v>
      </c>
      <c r="L14" s="10"/>
      <c r="M14" s="16" t="s">
        <v>68</v>
      </c>
      <c r="N14" s="16" t="s">
        <v>35</v>
      </c>
      <c r="O14" s="9" t="s">
        <v>73</v>
      </c>
    </row>
    <row r="15" customFormat="false" ht="15" hidden="false" customHeight="false" outlineLevel="0" collapsed="false">
      <c r="A15" s="18" t="s">
        <v>108</v>
      </c>
      <c r="B15" s="19" t="s">
        <v>109</v>
      </c>
      <c r="C15" s="19" t="s">
        <v>72</v>
      </c>
      <c r="D15" s="18" t="s">
        <v>48</v>
      </c>
      <c r="E15" s="20" t="n">
        <v>46177</v>
      </c>
      <c r="F15" s="18" t="s">
        <v>32</v>
      </c>
      <c r="G15" s="20" t="n">
        <v>46187</v>
      </c>
      <c r="H15" s="18" t="s">
        <v>45</v>
      </c>
      <c r="I15" s="20" t="n">
        <v>46192</v>
      </c>
      <c r="J15" s="18" t="s">
        <v>110</v>
      </c>
      <c r="K15" s="18" t="s">
        <v>97</v>
      </c>
      <c r="L15" s="20" t="n">
        <v>46196</v>
      </c>
      <c r="M15" s="18" t="s">
        <v>68</v>
      </c>
      <c r="N15" s="18" t="s">
        <v>7</v>
      </c>
      <c r="O15" s="19" t="s">
        <v>102</v>
      </c>
    </row>
    <row r="16" customFormat="false" ht="15" hidden="false" customHeight="false" outlineLevel="0" collapsed="false">
      <c r="A16" s="10" t="s">
        <v>111</v>
      </c>
      <c r="B16" s="9" t="s">
        <v>112</v>
      </c>
      <c r="C16" s="9" t="s">
        <v>113</v>
      </c>
      <c r="D16" s="16" t="s">
        <v>46</v>
      </c>
      <c r="E16" s="17" t="n">
        <v>46178</v>
      </c>
      <c r="F16" s="16" t="s">
        <v>41</v>
      </c>
      <c r="G16" s="10"/>
      <c r="H16" s="16" t="s">
        <v>33</v>
      </c>
      <c r="I16" s="10"/>
      <c r="J16" s="10"/>
      <c r="K16" s="16" t="s">
        <v>67</v>
      </c>
      <c r="L16" s="10"/>
      <c r="M16" s="16" t="s">
        <v>68</v>
      </c>
      <c r="N16" s="16" t="s">
        <v>7</v>
      </c>
      <c r="O16" s="9" t="s">
        <v>73</v>
      </c>
    </row>
    <row r="17" customFormat="false" ht="15" hidden="false" customHeight="false" outlineLevel="0" collapsed="false">
      <c r="A17" s="18" t="s">
        <v>114</v>
      </c>
      <c r="B17" s="19" t="s">
        <v>115</v>
      </c>
      <c r="C17" s="19" t="s">
        <v>116</v>
      </c>
      <c r="D17" s="18" t="s">
        <v>44</v>
      </c>
      <c r="E17" s="20" t="n">
        <v>46180</v>
      </c>
      <c r="F17" s="18" t="s">
        <v>35</v>
      </c>
      <c r="G17" s="20" t="n">
        <v>46190</v>
      </c>
      <c r="H17" s="18" t="s">
        <v>33</v>
      </c>
      <c r="I17" s="18"/>
      <c r="J17" s="18"/>
      <c r="K17" s="18" t="s">
        <v>77</v>
      </c>
      <c r="L17" s="18"/>
      <c r="M17" s="18" t="s">
        <v>68</v>
      </c>
      <c r="N17" s="18" t="s">
        <v>35</v>
      </c>
      <c r="O17" s="19" t="s">
        <v>89</v>
      </c>
    </row>
    <row r="18" customFormat="false" ht="15" hidden="false" customHeight="false" outlineLevel="0" collapsed="false">
      <c r="A18" s="10" t="s">
        <v>117</v>
      </c>
      <c r="B18" s="9" t="s">
        <v>118</v>
      </c>
      <c r="C18" s="9" t="s">
        <v>119</v>
      </c>
      <c r="D18" s="16" t="s">
        <v>46</v>
      </c>
      <c r="E18" s="17" t="n">
        <v>46184</v>
      </c>
      <c r="F18" s="16" t="s">
        <v>32</v>
      </c>
      <c r="G18" s="17" t="n">
        <v>46184</v>
      </c>
      <c r="H18" s="16" t="s">
        <v>36</v>
      </c>
      <c r="I18" s="17" t="n">
        <v>46187</v>
      </c>
      <c r="J18" s="10" t="s">
        <v>110</v>
      </c>
      <c r="K18" s="16" t="s">
        <v>97</v>
      </c>
      <c r="L18" s="17" t="n">
        <v>46192</v>
      </c>
      <c r="M18" s="16" t="s">
        <v>68</v>
      </c>
      <c r="N18" s="16" t="s">
        <v>7</v>
      </c>
      <c r="O18" s="9" t="s">
        <v>102</v>
      </c>
    </row>
    <row r="19" customFormat="false" ht="15" hidden="false" customHeight="false" outlineLevel="0" collapsed="false">
      <c r="A19" s="18" t="s">
        <v>120</v>
      </c>
      <c r="B19" s="19" t="s">
        <v>121</v>
      </c>
      <c r="C19" s="19" t="s">
        <v>113</v>
      </c>
      <c r="D19" s="18" t="s">
        <v>31</v>
      </c>
      <c r="E19" s="20" t="n">
        <v>46189</v>
      </c>
      <c r="F19" s="18" t="s">
        <v>32</v>
      </c>
      <c r="G19" s="20" t="n">
        <v>46193</v>
      </c>
      <c r="H19" s="18" t="s">
        <v>47</v>
      </c>
      <c r="I19" s="20" t="n">
        <v>46196</v>
      </c>
      <c r="J19" s="18" t="s">
        <v>110</v>
      </c>
      <c r="K19" s="18" t="s">
        <v>47</v>
      </c>
      <c r="L19" s="20" t="n">
        <v>46199</v>
      </c>
      <c r="M19" s="18" t="s">
        <v>83</v>
      </c>
      <c r="N19" s="18" t="s">
        <v>6</v>
      </c>
      <c r="O19" s="19" t="s">
        <v>89</v>
      </c>
    </row>
    <row r="20" customFormat="false" ht="23.85" hidden="false" customHeight="false" outlineLevel="0" collapsed="false">
      <c r="A20" s="10" t="s">
        <v>122</v>
      </c>
      <c r="B20" s="9" t="s">
        <v>123</v>
      </c>
      <c r="C20" s="9" t="s">
        <v>86</v>
      </c>
      <c r="D20" s="16" t="s">
        <v>34</v>
      </c>
      <c r="E20" s="17" t="n">
        <v>46190</v>
      </c>
      <c r="F20" s="16" t="s">
        <v>32</v>
      </c>
      <c r="G20" s="17" t="n">
        <v>46195</v>
      </c>
      <c r="H20" s="16" t="s">
        <v>36</v>
      </c>
      <c r="I20" s="17" t="n">
        <v>46198</v>
      </c>
      <c r="J20" s="10" t="s">
        <v>105</v>
      </c>
      <c r="K20" s="16" t="s">
        <v>97</v>
      </c>
      <c r="L20" s="17" t="n">
        <v>46208</v>
      </c>
      <c r="M20" s="16" t="s">
        <v>68</v>
      </c>
      <c r="N20" s="16" t="s">
        <v>7</v>
      </c>
      <c r="O20" s="9"/>
    </row>
    <row r="21" customFormat="false" ht="15" hidden="false" customHeight="false" outlineLevel="0" collapsed="false">
      <c r="A21" s="18" t="s">
        <v>124</v>
      </c>
      <c r="B21" s="19" t="s">
        <v>125</v>
      </c>
      <c r="C21" s="19" t="s">
        <v>92</v>
      </c>
      <c r="D21" s="18" t="s">
        <v>46</v>
      </c>
      <c r="E21" s="20" t="n">
        <v>46197</v>
      </c>
      <c r="F21" s="18" t="s">
        <v>38</v>
      </c>
      <c r="G21" s="20" t="n">
        <v>46202</v>
      </c>
      <c r="H21" s="18" t="s">
        <v>33</v>
      </c>
      <c r="I21" s="18"/>
      <c r="J21" s="18"/>
      <c r="K21" s="18" t="s">
        <v>67</v>
      </c>
      <c r="L21" s="18"/>
      <c r="M21" s="18" t="s">
        <v>68</v>
      </c>
      <c r="N21" s="18" t="s">
        <v>7</v>
      </c>
      <c r="O21" s="19" t="s">
        <v>126</v>
      </c>
    </row>
    <row r="22" customFormat="false" ht="15" hidden="false" customHeight="false" outlineLevel="0" collapsed="false">
      <c r="A22" s="10" t="s">
        <v>127</v>
      </c>
      <c r="B22" s="9" t="s">
        <v>128</v>
      </c>
      <c r="C22" s="9" t="s">
        <v>66</v>
      </c>
      <c r="D22" s="16" t="s">
        <v>37</v>
      </c>
      <c r="E22" s="17" t="n">
        <v>46197</v>
      </c>
      <c r="F22" s="16" t="s">
        <v>32</v>
      </c>
      <c r="G22" s="17" t="n">
        <v>46203</v>
      </c>
      <c r="H22" s="16" t="s">
        <v>47</v>
      </c>
      <c r="I22" s="17" t="n">
        <v>46210</v>
      </c>
      <c r="J22" s="10" t="s">
        <v>110</v>
      </c>
      <c r="K22" s="16" t="s">
        <v>77</v>
      </c>
      <c r="L22" s="10"/>
      <c r="M22" s="16" t="s">
        <v>68</v>
      </c>
      <c r="N22" s="16" t="s">
        <v>35</v>
      </c>
      <c r="O22" s="9"/>
    </row>
    <row r="23" customFormat="false" ht="23.85" hidden="false" customHeight="false" outlineLevel="0" collapsed="false">
      <c r="A23" s="18" t="s">
        <v>129</v>
      </c>
      <c r="B23" s="19" t="s">
        <v>130</v>
      </c>
      <c r="C23" s="19" t="s">
        <v>81</v>
      </c>
      <c r="D23" s="18" t="s">
        <v>44</v>
      </c>
      <c r="E23" s="20" t="n">
        <v>46200</v>
      </c>
      <c r="F23" s="18" t="s">
        <v>32</v>
      </c>
      <c r="G23" s="20" t="n">
        <v>46201</v>
      </c>
      <c r="H23" s="18" t="s">
        <v>47</v>
      </c>
      <c r="I23" s="20" t="n">
        <v>46204</v>
      </c>
      <c r="J23" s="18" t="s">
        <v>82</v>
      </c>
      <c r="K23" s="18" t="s">
        <v>47</v>
      </c>
      <c r="L23" s="20" t="n">
        <v>46205</v>
      </c>
      <c r="M23" s="18" t="s">
        <v>131</v>
      </c>
      <c r="N23" s="18" t="s">
        <v>43</v>
      </c>
      <c r="O23" s="19" t="s">
        <v>132</v>
      </c>
    </row>
    <row r="24" customFormat="false" ht="15" hidden="false" customHeight="false" outlineLevel="0" collapsed="false">
      <c r="A24" s="10" t="s">
        <v>133</v>
      </c>
      <c r="B24" s="9" t="s">
        <v>134</v>
      </c>
      <c r="C24" s="9" t="s">
        <v>66</v>
      </c>
      <c r="D24" s="16" t="s">
        <v>34</v>
      </c>
      <c r="E24" s="17" t="n">
        <v>46200</v>
      </c>
      <c r="F24" s="16" t="s">
        <v>38</v>
      </c>
      <c r="G24" s="17" t="n">
        <v>46209</v>
      </c>
      <c r="H24" s="16" t="s">
        <v>33</v>
      </c>
      <c r="I24" s="10"/>
      <c r="J24" s="10"/>
      <c r="K24" s="16" t="s">
        <v>67</v>
      </c>
      <c r="L24" s="10"/>
      <c r="M24" s="16" t="s">
        <v>68</v>
      </c>
      <c r="N24" s="16" t="s">
        <v>7</v>
      </c>
      <c r="O24" s="9" t="s">
        <v>126</v>
      </c>
    </row>
    <row r="25" customFormat="false" ht="23.85" hidden="false" customHeight="false" outlineLevel="0" collapsed="false">
      <c r="A25" s="18" t="s">
        <v>135</v>
      </c>
      <c r="B25" s="19" t="s">
        <v>136</v>
      </c>
      <c r="C25" s="19" t="s">
        <v>86</v>
      </c>
      <c r="D25" s="18" t="s">
        <v>31</v>
      </c>
      <c r="E25" s="20" t="n">
        <v>46208</v>
      </c>
      <c r="F25" s="18" t="s">
        <v>32</v>
      </c>
      <c r="G25" s="20" t="n">
        <v>46211</v>
      </c>
      <c r="H25" s="18" t="s">
        <v>47</v>
      </c>
      <c r="I25" s="20" t="n">
        <v>46215</v>
      </c>
      <c r="J25" s="18" t="s">
        <v>96</v>
      </c>
      <c r="K25" s="18" t="s">
        <v>47</v>
      </c>
      <c r="L25" s="20" t="n">
        <v>46218</v>
      </c>
      <c r="M25" s="18" t="s">
        <v>137</v>
      </c>
      <c r="N25" s="18" t="s">
        <v>7</v>
      </c>
      <c r="O25" s="19" t="s">
        <v>78</v>
      </c>
    </row>
    <row r="26" customFormat="false" ht="15" hidden="false" customHeight="false" outlineLevel="0" collapsed="false">
      <c r="A26" s="10" t="s">
        <v>138</v>
      </c>
      <c r="B26" s="9" t="s">
        <v>139</v>
      </c>
      <c r="C26" s="9" t="s">
        <v>76</v>
      </c>
      <c r="D26" s="16" t="s">
        <v>40</v>
      </c>
      <c r="E26" s="17" t="n">
        <v>46210</v>
      </c>
      <c r="F26" s="16" t="s">
        <v>32</v>
      </c>
      <c r="G26" s="17" t="n">
        <v>46214</v>
      </c>
      <c r="H26" s="16" t="s">
        <v>42</v>
      </c>
      <c r="I26" s="17" t="n">
        <v>46222</v>
      </c>
      <c r="J26" s="10" t="s">
        <v>110</v>
      </c>
      <c r="K26" s="16" t="s">
        <v>67</v>
      </c>
      <c r="L26" s="10"/>
      <c r="M26" s="16" t="s">
        <v>68</v>
      </c>
      <c r="N26" s="16" t="s">
        <v>7</v>
      </c>
      <c r="O26" s="9"/>
    </row>
    <row r="27" customFormat="false" ht="15" hidden="false" customHeight="false" outlineLevel="0" collapsed="false">
      <c r="A27" s="18" t="s">
        <v>140</v>
      </c>
      <c r="B27" s="19" t="s">
        <v>141</v>
      </c>
      <c r="C27" s="19" t="s">
        <v>92</v>
      </c>
      <c r="D27" s="18" t="s">
        <v>37</v>
      </c>
      <c r="E27" s="20" t="n">
        <v>46210</v>
      </c>
      <c r="F27" s="18" t="s">
        <v>32</v>
      </c>
      <c r="G27" s="20" t="n">
        <v>46219</v>
      </c>
      <c r="H27" s="18" t="s">
        <v>47</v>
      </c>
      <c r="I27" s="20" t="n">
        <v>46225</v>
      </c>
      <c r="J27" s="18" t="s">
        <v>82</v>
      </c>
      <c r="K27" s="18" t="s">
        <v>47</v>
      </c>
      <c r="L27" s="20" t="n">
        <v>46228</v>
      </c>
      <c r="M27" s="18" t="s">
        <v>83</v>
      </c>
      <c r="N27" s="18" t="s">
        <v>6</v>
      </c>
      <c r="O27" s="19" t="s">
        <v>126</v>
      </c>
    </row>
    <row r="28" customFormat="false" ht="15" hidden="false" customHeight="false" outlineLevel="0" collapsed="false">
      <c r="A28" s="10" t="s">
        <v>142</v>
      </c>
      <c r="B28" s="9" t="s">
        <v>143</v>
      </c>
      <c r="C28" s="9" t="s">
        <v>72</v>
      </c>
      <c r="D28" s="16" t="s">
        <v>34</v>
      </c>
      <c r="E28" s="17" t="n">
        <v>46218</v>
      </c>
      <c r="F28" s="16" t="s">
        <v>32</v>
      </c>
      <c r="G28" s="17" t="n">
        <v>46221</v>
      </c>
      <c r="H28" s="16" t="s">
        <v>47</v>
      </c>
      <c r="I28" s="17" t="n">
        <v>46221</v>
      </c>
      <c r="J28" s="10" t="s">
        <v>110</v>
      </c>
      <c r="K28" s="16" t="s">
        <v>47</v>
      </c>
      <c r="L28" s="17" t="n">
        <v>46221</v>
      </c>
      <c r="M28" s="16" t="s">
        <v>137</v>
      </c>
      <c r="N28" s="16" t="s">
        <v>7</v>
      </c>
      <c r="O28" s="9" t="s">
        <v>73</v>
      </c>
    </row>
    <row r="29" customFormat="false" ht="15" hidden="false" customHeight="false" outlineLevel="0" collapsed="false">
      <c r="A29" s="18" t="s">
        <v>144</v>
      </c>
      <c r="B29" s="19" t="s">
        <v>145</v>
      </c>
      <c r="C29" s="19" t="s">
        <v>76</v>
      </c>
      <c r="D29" s="18" t="s">
        <v>34</v>
      </c>
      <c r="E29" s="20" t="n">
        <v>46233</v>
      </c>
      <c r="F29" s="18" t="s">
        <v>35</v>
      </c>
      <c r="G29" s="20" t="n">
        <v>46234</v>
      </c>
      <c r="H29" s="18" t="s">
        <v>33</v>
      </c>
      <c r="I29" s="18"/>
      <c r="J29" s="18"/>
      <c r="K29" s="18" t="s">
        <v>77</v>
      </c>
      <c r="L29" s="18"/>
      <c r="M29" s="18" t="s">
        <v>68</v>
      </c>
      <c r="N29" s="18" t="s">
        <v>35</v>
      </c>
      <c r="O29" s="19" t="s">
        <v>98</v>
      </c>
    </row>
    <row r="30" customFormat="false" ht="15" hidden="false" customHeight="false" outlineLevel="0" collapsed="false">
      <c r="A30" s="10" t="s">
        <v>146</v>
      </c>
      <c r="B30" s="9" t="s">
        <v>147</v>
      </c>
      <c r="C30" s="9" t="s">
        <v>119</v>
      </c>
      <c r="D30" s="16" t="s">
        <v>44</v>
      </c>
      <c r="E30" s="17" t="n">
        <v>46234</v>
      </c>
      <c r="F30" s="16" t="s">
        <v>32</v>
      </c>
      <c r="G30" s="17" t="n">
        <v>46239</v>
      </c>
      <c r="H30" s="16" t="s">
        <v>39</v>
      </c>
      <c r="I30" s="17" t="n">
        <v>46240</v>
      </c>
      <c r="J30" s="10" t="s">
        <v>96</v>
      </c>
      <c r="K30" s="16" t="s">
        <v>97</v>
      </c>
      <c r="L30" s="17" t="n">
        <v>46243</v>
      </c>
      <c r="M30" s="16" t="s">
        <v>68</v>
      </c>
      <c r="N30" s="16" t="s">
        <v>7</v>
      </c>
      <c r="O30" s="9"/>
    </row>
    <row r="31" customFormat="false" ht="15" hidden="false" customHeight="false" outlineLevel="0" collapsed="false">
      <c r="A31" s="18" t="s">
        <v>148</v>
      </c>
      <c r="B31" s="19" t="s">
        <v>149</v>
      </c>
      <c r="C31" s="19" t="s">
        <v>113</v>
      </c>
      <c r="D31" s="18" t="s">
        <v>46</v>
      </c>
      <c r="E31" s="20" t="n">
        <v>46235</v>
      </c>
      <c r="F31" s="18" t="s">
        <v>32</v>
      </c>
      <c r="G31" s="20" t="n">
        <v>46239</v>
      </c>
      <c r="H31" s="18" t="s">
        <v>45</v>
      </c>
      <c r="I31" s="20" t="n">
        <v>46243</v>
      </c>
      <c r="J31" s="18" t="s">
        <v>82</v>
      </c>
      <c r="K31" s="18" t="s">
        <v>97</v>
      </c>
      <c r="L31" s="20" t="n">
        <v>46243</v>
      </c>
      <c r="M31" s="18" t="s">
        <v>68</v>
      </c>
      <c r="N31" s="18" t="s">
        <v>7</v>
      </c>
      <c r="O31" s="19"/>
    </row>
    <row r="32" customFormat="false" ht="15" hidden="false" customHeight="false" outlineLevel="0" collapsed="false">
      <c r="A32" s="10" t="s">
        <v>150</v>
      </c>
      <c r="B32" s="9" t="s">
        <v>151</v>
      </c>
      <c r="C32" s="9" t="s">
        <v>92</v>
      </c>
      <c r="D32" s="16" t="s">
        <v>44</v>
      </c>
      <c r="E32" s="17" t="n">
        <v>46236</v>
      </c>
      <c r="F32" s="16" t="s">
        <v>32</v>
      </c>
      <c r="G32" s="17" t="n">
        <v>46239</v>
      </c>
      <c r="H32" s="16" t="s">
        <v>36</v>
      </c>
      <c r="I32" s="17" t="n">
        <v>46240</v>
      </c>
      <c r="J32" s="10" t="s">
        <v>96</v>
      </c>
      <c r="K32" s="16" t="s">
        <v>97</v>
      </c>
      <c r="L32" s="17" t="n">
        <v>46243</v>
      </c>
      <c r="M32" s="16" t="s">
        <v>68</v>
      </c>
      <c r="N32" s="16" t="s">
        <v>7</v>
      </c>
      <c r="O32" s="9" t="s">
        <v>126</v>
      </c>
    </row>
    <row r="33" customFormat="false" ht="15" hidden="false" customHeight="false" outlineLevel="0" collapsed="false">
      <c r="A33" s="18" t="s">
        <v>152</v>
      </c>
      <c r="B33" s="19" t="s">
        <v>153</v>
      </c>
      <c r="C33" s="19" t="s">
        <v>116</v>
      </c>
      <c r="D33" s="18" t="s">
        <v>46</v>
      </c>
      <c r="E33" s="20" t="n">
        <v>46237</v>
      </c>
      <c r="F33" s="18" t="s">
        <v>41</v>
      </c>
      <c r="G33" s="18"/>
      <c r="H33" s="18" t="s">
        <v>33</v>
      </c>
      <c r="I33" s="18"/>
      <c r="J33" s="18"/>
      <c r="K33" s="18" t="s">
        <v>67</v>
      </c>
      <c r="L33" s="18"/>
      <c r="M33" s="18" t="s">
        <v>68</v>
      </c>
      <c r="N33" s="18" t="s">
        <v>7</v>
      </c>
      <c r="O33" s="19" t="s">
        <v>78</v>
      </c>
    </row>
    <row r="34" customFormat="false" ht="15" hidden="false" customHeight="false" outlineLevel="0" collapsed="false">
      <c r="A34" s="10"/>
      <c r="B34" s="9"/>
      <c r="C34" s="9"/>
      <c r="D34" s="16"/>
      <c r="E34" s="17"/>
      <c r="F34" s="16"/>
      <c r="G34" s="17"/>
      <c r="H34" s="16"/>
      <c r="I34" s="17"/>
      <c r="J34" s="10"/>
      <c r="K34" s="16"/>
      <c r="L34" s="17"/>
      <c r="M34" s="16"/>
      <c r="N34" s="16"/>
      <c r="O34" s="9"/>
    </row>
    <row r="35" customFormat="false" ht="15" hidden="false" customHeight="false" outlineLevel="0" collapsed="false">
      <c r="A35" s="10"/>
      <c r="B35" s="9"/>
      <c r="C35" s="9"/>
      <c r="D35" s="16"/>
      <c r="E35" s="17"/>
      <c r="F35" s="16"/>
      <c r="G35" s="17"/>
      <c r="H35" s="16"/>
      <c r="I35" s="17"/>
      <c r="J35" s="10"/>
      <c r="K35" s="16"/>
      <c r="L35" s="17"/>
      <c r="M35" s="16"/>
      <c r="N35" s="16"/>
      <c r="O35" s="9"/>
    </row>
    <row r="36" customFormat="false" ht="15" hidden="false" customHeight="false" outlineLevel="0" collapsed="false">
      <c r="A36" s="10"/>
      <c r="B36" s="9"/>
      <c r="C36" s="9"/>
      <c r="D36" s="16"/>
      <c r="E36" s="17"/>
      <c r="F36" s="16"/>
      <c r="G36" s="17"/>
      <c r="H36" s="16"/>
      <c r="I36" s="17"/>
      <c r="J36" s="10"/>
      <c r="K36" s="16"/>
      <c r="L36" s="17"/>
      <c r="M36" s="16"/>
      <c r="N36" s="16"/>
      <c r="O36" s="9"/>
    </row>
    <row r="37" customFormat="false" ht="15" hidden="false" customHeight="false" outlineLevel="0" collapsed="false">
      <c r="A37" s="10"/>
      <c r="B37" s="9"/>
      <c r="C37" s="9"/>
      <c r="D37" s="16"/>
      <c r="E37" s="17"/>
      <c r="F37" s="16"/>
      <c r="G37" s="17"/>
      <c r="H37" s="16"/>
      <c r="I37" s="17"/>
      <c r="J37" s="10"/>
      <c r="K37" s="16"/>
      <c r="L37" s="17"/>
      <c r="M37" s="16"/>
      <c r="N37" s="16"/>
      <c r="O37" s="9"/>
    </row>
    <row r="38" customFormat="false" ht="15" hidden="false" customHeight="false" outlineLevel="0" collapsed="false">
      <c r="A38" s="10"/>
      <c r="B38" s="9"/>
      <c r="C38" s="9"/>
      <c r="D38" s="16"/>
      <c r="E38" s="17"/>
      <c r="F38" s="16"/>
      <c r="G38" s="17"/>
      <c r="H38" s="16"/>
      <c r="I38" s="17"/>
      <c r="J38" s="10"/>
      <c r="K38" s="16"/>
      <c r="L38" s="17"/>
      <c r="M38" s="16"/>
      <c r="N38" s="16"/>
      <c r="O38" s="9"/>
    </row>
    <row r="39" customFormat="false" ht="15" hidden="false" customHeight="false" outlineLevel="0" collapsed="false">
      <c r="A39" s="10"/>
      <c r="B39" s="9"/>
      <c r="C39" s="9"/>
      <c r="D39" s="16"/>
      <c r="E39" s="17"/>
      <c r="F39" s="16"/>
      <c r="G39" s="17"/>
      <c r="H39" s="16"/>
      <c r="I39" s="17"/>
      <c r="J39" s="10"/>
      <c r="K39" s="16"/>
      <c r="L39" s="17"/>
      <c r="M39" s="16"/>
      <c r="N39" s="16"/>
      <c r="O39" s="9"/>
    </row>
    <row r="40" customFormat="false" ht="15" hidden="false" customHeight="false" outlineLevel="0" collapsed="false">
      <c r="A40" s="10"/>
      <c r="B40" s="9"/>
      <c r="C40" s="9"/>
      <c r="D40" s="16"/>
      <c r="E40" s="17"/>
      <c r="F40" s="16"/>
      <c r="G40" s="17"/>
      <c r="H40" s="16"/>
      <c r="I40" s="17"/>
      <c r="J40" s="10"/>
      <c r="K40" s="16"/>
      <c r="L40" s="17"/>
      <c r="M40" s="16"/>
      <c r="N40" s="16"/>
      <c r="O40" s="9"/>
    </row>
    <row r="41" customFormat="false" ht="15" hidden="false" customHeight="false" outlineLevel="0" collapsed="false">
      <c r="A41" s="10"/>
      <c r="B41" s="9"/>
      <c r="C41" s="9"/>
      <c r="D41" s="16"/>
      <c r="E41" s="17"/>
      <c r="F41" s="16"/>
      <c r="G41" s="17"/>
      <c r="H41" s="16"/>
      <c r="I41" s="17"/>
      <c r="J41" s="10"/>
      <c r="K41" s="16"/>
      <c r="L41" s="17"/>
      <c r="M41" s="16"/>
      <c r="N41" s="16"/>
      <c r="O41" s="9"/>
    </row>
    <row r="42" customFormat="false" ht="15" hidden="false" customHeight="false" outlineLevel="0" collapsed="false">
      <c r="A42" s="10"/>
      <c r="B42" s="9"/>
      <c r="C42" s="9"/>
      <c r="D42" s="16"/>
      <c r="E42" s="17"/>
      <c r="F42" s="16"/>
      <c r="G42" s="17"/>
      <c r="H42" s="16"/>
      <c r="I42" s="17"/>
      <c r="J42" s="10"/>
      <c r="K42" s="16"/>
      <c r="L42" s="17"/>
      <c r="M42" s="16"/>
      <c r="N42" s="16"/>
      <c r="O42" s="9"/>
    </row>
    <row r="43" customFormat="false" ht="15" hidden="false" customHeight="false" outlineLevel="0" collapsed="false">
      <c r="A43" s="10"/>
      <c r="B43" s="9"/>
      <c r="C43" s="9"/>
      <c r="D43" s="16"/>
      <c r="E43" s="17"/>
      <c r="F43" s="16"/>
      <c r="G43" s="17"/>
      <c r="H43" s="16"/>
      <c r="I43" s="17"/>
      <c r="J43" s="10"/>
      <c r="K43" s="16"/>
      <c r="L43" s="17"/>
      <c r="M43" s="16"/>
      <c r="N43" s="16"/>
      <c r="O43" s="9"/>
    </row>
    <row r="44" customFormat="false" ht="15" hidden="false" customHeight="false" outlineLevel="0" collapsed="false">
      <c r="A44" s="10"/>
      <c r="B44" s="9"/>
      <c r="C44" s="9"/>
      <c r="D44" s="16"/>
      <c r="E44" s="17"/>
      <c r="F44" s="16"/>
      <c r="G44" s="17"/>
      <c r="H44" s="16"/>
      <c r="I44" s="17"/>
      <c r="J44" s="10"/>
      <c r="K44" s="16"/>
      <c r="L44" s="17"/>
      <c r="M44" s="16"/>
      <c r="N44" s="16"/>
      <c r="O44" s="9"/>
    </row>
    <row r="45" customFormat="false" ht="15" hidden="false" customHeight="false" outlineLevel="0" collapsed="false">
      <c r="A45" s="10"/>
      <c r="B45" s="9"/>
      <c r="C45" s="9"/>
      <c r="D45" s="16"/>
      <c r="E45" s="17"/>
      <c r="F45" s="16"/>
      <c r="G45" s="17"/>
      <c r="H45" s="16"/>
      <c r="I45" s="17"/>
      <c r="J45" s="10"/>
      <c r="K45" s="16"/>
      <c r="L45" s="17"/>
      <c r="M45" s="16"/>
      <c r="N45" s="16"/>
      <c r="O45" s="9"/>
    </row>
    <row r="46" customFormat="false" ht="15" hidden="false" customHeight="false" outlineLevel="0" collapsed="false">
      <c r="A46" s="10"/>
      <c r="B46" s="9"/>
      <c r="C46" s="9"/>
      <c r="D46" s="16"/>
      <c r="E46" s="17"/>
      <c r="F46" s="16"/>
      <c r="G46" s="17"/>
      <c r="H46" s="16"/>
      <c r="I46" s="17"/>
      <c r="J46" s="10"/>
      <c r="K46" s="16"/>
      <c r="L46" s="17"/>
      <c r="M46" s="16"/>
      <c r="N46" s="16"/>
      <c r="O46" s="9"/>
    </row>
    <row r="47" customFormat="false" ht="15" hidden="false" customHeight="false" outlineLevel="0" collapsed="false">
      <c r="A47" s="10"/>
      <c r="B47" s="9"/>
      <c r="C47" s="9"/>
      <c r="D47" s="16"/>
      <c r="E47" s="17"/>
      <c r="F47" s="16"/>
      <c r="G47" s="17"/>
      <c r="H47" s="16"/>
      <c r="I47" s="17"/>
      <c r="J47" s="10"/>
      <c r="K47" s="16"/>
      <c r="L47" s="17"/>
      <c r="M47" s="16"/>
      <c r="N47" s="16"/>
      <c r="O47" s="9"/>
    </row>
    <row r="48" customFormat="false" ht="15" hidden="false" customHeight="false" outlineLevel="0" collapsed="false">
      <c r="A48" s="10"/>
      <c r="B48" s="9"/>
      <c r="C48" s="9"/>
      <c r="D48" s="16"/>
      <c r="E48" s="17"/>
      <c r="F48" s="16"/>
      <c r="G48" s="17"/>
      <c r="H48" s="16"/>
      <c r="I48" s="17"/>
      <c r="J48" s="10"/>
      <c r="K48" s="16"/>
      <c r="L48" s="17"/>
      <c r="M48" s="16"/>
      <c r="N48" s="16"/>
      <c r="O48" s="9"/>
    </row>
    <row r="49" customFormat="false" ht="15" hidden="false" customHeight="false" outlineLevel="0" collapsed="false">
      <c r="A49" s="10"/>
      <c r="B49" s="9"/>
      <c r="C49" s="9"/>
      <c r="D49" s="16"/>
      <c r="E49" s="17"/>
      <c r="F49" s="16"/>
      <c r="G49" s="17"/>
      <c r="H49" s="16"/>
      <c r="I49" s="17"/>
      <c r="J49" s="10"/>
      <c r="K49" s="16"/>
      <c r="L49" s="17"/>
      <c r="M49" s="16"/>
      <c r="N49" s="16"/>
      <c r="O49" s="9"/>
    </row>
    <row r="50" customFormat="false" ht="15" hidden="false" customHeight="false" outlineLevel="0" collapsed="false">
      <c r="A50" s="10"/>
      <c r="B50" s="9"/>
      <c r="C50" s="9"/>
      <c r="D50" s="16"/>
      <c r="E50" s="17"/>
      <c r="F50" s="16"/>
      <c r="G50" s="17"/>
      <c r="H50" s="16"/>
      <c r="I50" s="17"/>
      <c r="J50" s="10"/>
      <c r="K50" s="16"/>
      <c r="L50" s="17"/>
      <c r="M50" s="16"/>
      <c r="N50" s="16"/>
      <c r="O50" s="9"/>
    </row>
    <row r="51" customFormat="false" ht="15" hidden="false" customHeight="false" outlineLevel="0" collapsed="false">
      <c r="A51" s="10"/>
      <c r="B51" s="9"/>
      <c r="C51" s="9"/>
      <c r="D51" s="16"/>
      <c r="E51" s="17"/>
      <c r="F51" s="16"/>
      <c r="G51" s="17"/>
      <c r="H51" s="16"/>
      <c r="I51" s="17"/>
      <c r="J51" s="10"/>
      <c r="K51" s="16"/>
      <c r="L51" s="17"/>
      <c r="M51" s="16"/>
      <c r="N51" s="16"/>
      <c r="O51" s="9"/>
    </row>
    <row r="52" customFormat="false" ht="15" hidden="false" customHeight="false" outlineLevel="0" collapsed="false">
      <c r="A52" s="10"/>
      <c r="B52" s="9"/>
      <c r="C52" s="9"/>
      <c r="D52" s="16"/>
      <c r="E52" s="17"/>
      <c r="F52" s="16"/>
      <c r="G52" s="17"/>
      <c r="H52" s="16"/>
      <c r="I52" s="17"/>
      <c r="J52" s="10"/>
      <c r="K52" s="16"/>
      <c r="L52" s="17"/>
      <c r="M52" s="16"/>
      <c r="N52" s="16"/>
      <c r="O52" s="9"/>
    </row>
    <row r="53" customFormat="false" ht="15" hidden="false" customHeight="false" outlineLevel="0" collapsed="false">
      <c r="A53" s="10"/>
      <c r="B53" s="9"/>
      <c r="C53" s="9"/>
      <c r="D53" s="16"/>
      <c r="E53" s="17"/>
      <c r="F53" s="16"/>
      <c r="G53" s="17"/>
      <c r="H53" s="16"/>
      <c r="I53" s="17"/>
      <c r="J53" s="10"/>
      <c r="K53" s="16"/>
      <c r="L53" s="17"/>
      <c r="M53" s="16"/>
      <c r="N53" s="16"/>
      <c r="O53" s="9"/>
    </row>
    <row r="54" customFormat="false" ht="15" hidden="false" customHeight="false" outlineLevel="0" collapsed="false">
      <c r="A54" s="10"/>
      <c r="B54" s="9"/>
      <c r="C54" s="9"/>
      <c r="D54" s="16"/>
      <c r="E54" s="17"/>
      <c r="F54" s="16"/>
      <c r="G54" s="17"/>
      <c r="H54" s="16"/>
      <c r="I54" s="17"/>
      <c r="J54" s="10"/>
      <c r="K54" s="16"/>
      <c r="L54" s="17"/>
      <c r="M54" s="16"/>
      <c r="N54" s="16"/>
      <c r="O54" s="9"/>
    </row>
    <row r="55" customFormat="false" ht="15" hidden="false" customHeight="false" outlineLevel="0" collapsed="false">
      <c r="A55" s="10"/>
      <c r="B55" s="9"/>
      <c r="C55" s="9"/>
      <c r="D55" s="16"/>
      <c r="E55" s="17"/>
      <c r="F55" s="16"/>
      <c r="G55" s="17"/>
      <c r="H55" s="16"/>
      <c r="I55" s="17"/>
      <c r="J55" s="10"/>
      <c r="K55" s="16"/>
      <c r="L55" s="17"/>
      <c r="M55" s="16"/>
      <c r="N55" s="16"/>
      <c r="O55" s="9"/>
    </row>
    <row r="56" customFormat="false" ht="15" hidden="false" customHeight="false" outlineLevel="0" collapsed="false">
      <c r="A56" s="10"/>
      <c r="B56" s="9"/>
      <c r="C56" s="9"/>
      <c r="D56" s="16"/>
      <c r="E56" s="17"/>
      <c r="F56" s="16"/>
      <c r="G56" s="17"/>
      <c r="H56" s="16"/>
      <c r="I56" s="17"/>
      <c r="J56" s="10"/>
      <c r="K56" s="16"/>
      <c r="L56" s="17"/>
      <c r="M56" s="16"/>
      <c r="N56" s="16"/>
      <c r="O56" s="9"/>
    </row>
    <row r="57" customFormat="false" ht="15" hidden="false" customHeight="false" outlineLevel="0" collapsed="false">
      <c r="A57" s="10"/>
      <c r="B57" s="9"/>
      <c r="C57" s="9"/>
      <c r="D57" s="16"/>
      <c r="E57" s="17"/>
      <c r="F57" s="16"/>
      <c r="G57" s="17"/>
      <c r="H57" s="16"/>
      <c r="I57" s="17"/>
      <c r="J57" s="10"/>
      <c r="K57" s="16"/>
      <c r="L57" s="17"/>
      <c r="M57" s="16"/>
      <c r="N57" s="16"/>
      <c r="O57" s="9"/>
    </row>
    <row r="58" customFormat="false" ht="15" hidden="false" customHeight="false" outlineLevel="0" collapsed="false">
      <c r="A58" s="10"/>
      <c r="B58" s="9"/>
      <c r="C58" s="9"/>
      <c r="D58" s="16"/>
      <c r="E58" s="17"/>
      <c r="F58" s="16"/>
      <c r="G58" s="17"/>
      <c r="H58" s="16"/>
      <c r="I58" s="17"/>
      <c r="J58" s="10"/>
      <c r="K58" s="16"/>
      <c r="L58" s="17"/>
      <c r="M58" s="16"/>
      <c r="N58" s="16"/>
      <c r="O58" s="9"/>
    </row>
    <row r="59" customFormat="false" ht="15" hidden="false" customHeight="false" outlineLevel="0" collapsed="false">
      <c r="A59" s="10"/>
      <c r="B59" s="9"/>
      <c r="C59" s="9"/>
      <c r="D59" s="16"/>
      <c r="E59" s="17"/>
      <c r="F59" s="16"/>
      <c r="G59" s="17"/>
      <c r="H59" s="16"/>
      <c r="I59" s="17"/>
      <c r="J59" s="10"/>
      <c r="K59" s="16"/>
      <c r="L59" s="17"/>
      <c r="M59" s="16"/>
      <c r="N59" s="16"/>
      <c r="O59" s="9"/>
    </row>
    <row r="60" customFormat="false" ht="15" hidden="false" customHeight="false" outlineLevel="0" collapsed="false">
      <c r="A60" s="10"/>
      <c r="B60" s="9"/>
      <c r="C60" s="9"/>
      <c r="D60" s="16"/>
      <c r="E60" s="17"/>
      <c r="F60" s="16"/>
      <c r="G60" s="17"/>
      <c r="H60" s="16"/>
      <c r="I60" s="17"/>
      <c r="J60" s="10"/>
      <c r="K60" s="16"/>
      <c r="L60" s="17"/>
      <c r="M60" s="16"/>
      <c r="N60" s="16"/>
      <c r="O60" s="9"/>
    </row>
    <row r="61" customFormat="false" ht="15" hidden="false" customHeight="false" outlineLevel="0" collapsed="false">
      <c r="A61" s="10"/>
      <c r="B61" s="9"/>
      <c r="C61" s="9"/>
      <c r="D61" s="16"/>
      <c r="E61" s="17"/>
      <c r="F61" s="16"/>
      <c r="G61" s="17"/>
      <c r="H61" s="16"/>
      <c r="I61" s="17"/>
      <c r="J61" s="10"/>
      <c r="K61" s="16"/>
      <c r="L61" s="17"/>
      <c r="M61" s="16"/>
      <c r="N61" s="16"/>
      <c r="O61" s="9"/>
    </row>
    <row r="62" customFormat="false" ht="15" hidden="false" customHeight="false" outlineLevel="0" collapsed="false">
      <c r="A62" s="10"/>
      <c r="B62" s="9"/>
      <c r="C62" s="9"/>
      <c r="D62" s="16"/>
      <c r="E62" s="17"/>
      <c r="F62" s="16"/>
      <c r="G62" s="17"/>
      <c r="H62" s="16"/>
      <c r="I62" s="17"/>
      <c r="J62" s="10"/>
      <c r="K62" s="16"/>
      <c r="L62" s="17"/>
      <c r="M62" s="16"/>
      <c r="N62" s="16"/>
      <c r="O62" s="9"/>
    </row>
    <row r="63" customFormat="false" ht="15" hidden="false" customHeight="false" outlineLevel="0" collapsed="false">
      <c r="A63" s="10"/>
      <c r="B63" s="9"/>
      <c r="C63" s="9"/>
      <c r="D63" s="16"/>
      <c r="E63" s="17"/>
      <c r="F63" s="16"/>
      <c r="G63" s="17"/>
      <c r="H63" s="16"/>
      <c r="I63" s="17"/>
      <c r="J63" s="10"/>
      <c r="K63" s="16"/>
      <c r="L63" s="17"/>
      <c r="M63" s="16"/>
      <c r="N63" s="16"/>
      <c r="O63" s="9"/>
    </row>
    <row r="64" customFormat="false" ht="15" hidden="false" customHeight="false" outlineLevel="0" collapsed="false">
      <c r="A64" s="10"/>
      <c r="B64" s="9"/>
      <c r="C64" s="9"/>
      <c r="D64" s="16"/>
      <c r="E64" s="17"/>
      <c r="F64" s="16"/>
      <c r="G64" s="17"/>
      <c r="H64" s="16"/>
      <c r="I64" s="17"/>
      <c r="J64" s="10"/>
      <c r="K64" s="16"/>
      <c r="L64" s="17"/>
      <c r="M64" s="16"/>
      <c r="N64" s="16"/>
      <c r="O64" s="9"/>
    </row>
    <row r="65" customFormat="false" ht="15" hidden="false" customHeight="false" outlineLevel="0" collapsed="false">
      <c r="A65" s="10"/>
      <c r="B65" s="9"/>
      <c r="C65" s="9"/>
      <c r="D65" s="16"/>
      <c r="E65" s="17"/>
      <c r="F65" s="16"/>
      <c r="G65" s="17"/>
      <c r="H65" s="16"/>
      <c r="I65" s="17"/>
      <c r="J65" s="10"/>
      <c r="K65" s="16"/>
      <c r="L65" s="17"/>
      <c r="M65" s="16"/>
      <c r="N65" s="16"/>
      <c r="O65" s="9"/>
    </row>
    <row r="66" customFormat="false" ht="15" hidden="false" customHeight="false" outlineLevel="0" collapsed="false">
      <c r="A66" s="10"/>
      <c r="B66" s="9"/>
      <c r="C66" s="9"/>
      <c r="D66" s="16"/>
      <c r="E66" s="17"/>
      <c r="F66" s="16"/>
      <c r="G66" s="17"/>
      <c r="H66" s="16"/>
      <c r="I66" s="17"/>
      <c r="J66" s="10"/>
      <c r="K66" s="16"/>
      <c r="L66" s="17"/>
      <c r="M66" s="16"/>
      <c r="N66" s="16"/>
      <c r="O66" s="9"/>
    </row>
    <row r="67" customFormat="false" ht="15" hidden="false" customHeight="false" outlineLevel="0" collapsed="false">
      <c r="A67" s="10"/>
      <c r="B67" s="9"/>
      <c r="C67" s="9"/>
      <c r="D67" s="16"/>
      <c r="E67" s="17"/>
      <c r="F67" s="16"/>
      <c r="G67" s="17"/>
      <c r="H67" s="16"/>
      <c r="I67" s="17"/>
      <c r="J67" s="10"/>
      <c r="K67" s="16"/>
      <c r="L67" s="17"/>
      <c r="M67" s="16"/>
      <c r="N67" s="16"/>
      <c r="O67" s="9"/>
    </row>
    <row r="68" customFormat="false" ht="15" hidden="false" customHeight="false" outlineLevel="0" collapsed="false">
      <c r="A68" s="10"/>
      <c r="B68" s="9"/>
      <c r="C68" s="9"/>
      <c r="D68" s="16"/>
      <c r="E68" s="17"/>
      <c r="F68" s="16"/>
      <c r="G68" s="17"/>
      <c r="H68" s="16"/>
      <c r="I68" s="17"/>
      <c r="J68" s="10"/>
      <c r="K68" s="16"/>
      <c r="L68" s="17"/>
      <c r="M68" s="16"/>
      <c r="N68" s="16"/>
      <c r="O68" s="9"/>
    </row>
    <row r="69" customFormat="false" ht="15" hidden="false" customHeight="false" outlineLevel="0" collapsed="false">
      <c r="A69" s="10"/>
      <c r="B69" s="9"/>
      <c r="C69" s="9"/>
      <c r="D69" s="16"/>
      <c r="E69" s="17"/>
      <c r="F69" s="16"/>
      <c r="G69" s="17"/>
      <c r="H69" s="16"/>
      <c r="I69" s="17"/>
      <c r="J69" s="10"/>
      <c r="K69" s="16"/>
      <c r="L69" s="17"/>
      <c r="M69" s="16"/>
      <c r="N69" s="16"/>
      <c r="O69" s="9"/>
    </row>
    <row r="70" customFormat="false" ht="15" hidden="false" customHeight="false" outlineLevel="0" collapsed="false">
      <c r="A70" s="10"/>
      <c r="B70" s="9"/>
      <c r="C70" s="9"/>
      <c r="D70" s="16"/>
      <c r="E70" s="17"/>
      <c r="F70" s="16"/>
      <c r="G70" s="17"/>
      <c r="H70" s="16"/>
      <c r="I70" s="17"/>
      <c r="J70" s="10"/>
      <c r="K70" s="16"/>
      <c r="L70" s="17"/>
      <c r="M70" s="16"/>
      <c r="N70" s="16"/>
      <c r="O70" s="9"/>
    </row>
    <row r="71" customFormat="false" ht="15" hidden="false" customHeight="false" outlineLevel="0" collapsed="false">
      <c r="A71" s="10"/>
      <c r="B71" s="9"/>
      <c r="C71" s="9"/>
      <c r="D71" s="16"/>
      <c r="E71" s="17"/>
      <c r="F71" s="16"/>
      <c r="G71" s="17"/>
      <c r="H71" s="16"/>
      <c r="I71" s="17"/>
      <c r="J71" s="10"/>
      <c r="K71" s="16"/>
      <c r="L71" s="17"/>
      <c r="M71" s="16"/>
      <c r="N71" s="16"/>
      <c r="O71" s="9"/>
    </row>
    <row r="72" customFormat="false" ht="15" hidden="false" customHeight="false" outlineLevel="0" collapsed="false">
      <c r="A72" s="10"/>
      <c r="B72" s="9"/>
      <c r="C72" s="9"/>
      <c r="D72" s="16"/>
      <c r="E72" s="17"/>
      <c r="F72" s="16"/>
      <c r="G72" s="17"/>
      <c r="H72" s="16"/>
      <c r="I72" s="17"/>
      <c r="J72" s="10"/>
      <c r="K72" s="16"/>
      <c r="L72" s="17"/>
      <c r="M72" s="16"/>
      <c r="N72" s="16"/>
      <c r="O72" s="9"/>
    </row>
    <row r="73" customFormat="false" ht="15" hidden="false" customHeight="false" outlineLevel="0" collapsed="false">
      <c r="A73" s="10"/>
      <c r="B73" s="9"/>
      <c r="C73" s="9"/>
      <c r="D73" s="16"/>
      <c r="E73" s="17"/>
      <c r="F73" s="16"/>
      <c r="G73" s="17"/>
      <c r="H73" s="16"/>
      <c r="I73" s="17"/>
      <c r="J73" s="10"/>
      <c r="K73" s="16"/>
      <c r="L73" s="17"/>
      <c r="M73" s="16"/>
      <c r="N73" s="16"/>
      <c r="O73" s="9"/>
    </row>
    <row r="74" customFormat="false" ht="15" hidden="false" customHeight="false" outlineLevel="0" collapsed="false">
      <c r="A74" s="10"/>
      <c r="B74" s="9"/>
      <c r="C74" s="9"/>
      <c r="D74" s="16"/>
      <c r="E74" s="17"/>
      <c r="F74" s="16"/>
      <c r="G74" s="17"/>
      <c r="H74" s="16"/>
      <c r="I74" s="17"/>
      <c r="J74" s="10"/>
      <c r="K74" s="16"/>
      <c r="L74" s="17"/>
      <c r="M74" s="16"/>
      <c r="N74" s="16"/>
      <c r="O74" s="9"/>
    </row>
    <row r="75" customFormat="false" ht="15" hidden="false" customHeight="false" outlineLevel="0" collapsed="false">
      <c r="A75" s="10"/>
      <c r="B75" s="9"/>
      <c r="C75" s="9"/>
      <c r="D75" s="16"/>
      <c r="E75" s="17"/>
      <c r="F75" s="16"/>
      <c r="G75" s="17"/>
      <c r="H75" s="16"/>
      <c r="I75" s="17"/>
      <c r="J75" s="10"/>
      <c r="K75" s="16"/>
      <c r="L75" s="17"/>
      <c r="M75" s="16"/>
      <c r="N75" s="16"/>
      <c r="O75" s="9"/>
    </row>
    <row r="76" customFormat="false" ht="15" hidden="false" customHeight="false" outlineLevel="0" collapsed="false">
      <c r="A76" s="10"/>
      <c r="B76" s="9"/>
      <c r="C76" s="9"/>
      <c r="D76" s="16"/>
      <c r="E76" s="17"/>
      <c r="F76" s="16"/>
      <c r="G76" s="17"/>
      <c r="H76" s="16"/>
      <c r="I76" s="17"/>
      <c r="J76" s="10"/>
      <c r="K76" s="16"/>
      <c r="L76" s="17"/>
      <c r="M76" s="16"/>
      <c r="N76" s="16"/>
      <c r="O76" s="9"/>
    </row>
    <row r="77" customFormat="false" ht="15" hidden="false" customHeight="false" outlineLevel="0" collapsed="false">
      <c r="A77" s="10"/>
      <c r="B77" s="9"/>
      <c r="C77" s="9"/>
      <c r="D77" s="16"/>
      <c r="E77" s="17"/>
      <c r="F77" s="16"/>
      <c r="G77" s="17"/>
      <c r="H77" s="16"/>
      <c r="I77" s="17"/>
      <c r="J77" s="10"/>
      <c r="K77" s="16"/>
      <c r="L77" s="17"/>
      <c r="M77" s="16"/>
      <c r="N77" s="16"/>
      <c r="O77" s="9"/>
    </row>
    <row r="78" customFormat="false" ht="15" hidden="false" customHeight="false" outlineLevel="0" collapsed="false">
      <c r="A78" s="10"/>
      <c r="B78" s="9"/>
      <c r="C78" s="9"/>
      <c r="D78" s="16"/>
      <c r="E78" s="17"/>
      <c r="F78" s="16"/>
      <c r="G78" s="17"/>
      <c r="H78" s="16"/>
      <c r="I78" s="17"/>
      <c r="J78" s="10"/>
      <c r="K78" s="16"/>
      <c r="L78" s="17"/>
      <c r="M78" s="16"/>
      <c r="N78" s="16"/>
      <c r="O78" s="9"/>
    </row>
    <row r="79" customFormat="false" ht="15" hidden="false" customHeight="false" outlineLevel="0" collapsed="false">
      <c r="A79" s="10"/>
      <c r="B79" s="9"/>
      <c r="C79" s="9"/>
      <c r="D79" s="16"/>
      <c r="E79" s="17"/>
      <c r="F79" s="16"/>
      <c r="G79" s="17"/>
      <c r="H79" s="16"/>
      <c r="I79" s="17"/>
      <c r="J79" s="10"/>
      <c r="K79" s="16"/>
      <c r="L79" s="17"/>
      <c r="M79" s="16"/>
      <c r="N79" s="16"/>
      <c r="O79" s="9"/>
    </row>
    <row r="80" customFormat="false" ht="15" hidden="false" customHeight="false" outlineLevel="0" collapsed="false">
      <c r="A80" s="10"/>
      <c r="B80" s="9"/>
      <c r="C80" s="9"/>
      <c r="D80" s="16"/>
      <c r="E80" s="17"/>
      <c r="F80" s="16"/>
      <c r="G80" s="17"/>
      <c r="H80" s="16"/>
      <c r="I80" s="17"/>
      <c r="J80" s="10"/>
      <c r="K80" s="16"/>
      <c r="L80" s="17"/>
      <c r="M80" s="16"/>
      <c r="N80" s="16"/>
      <c r="O80" s="9"/>
    </row>
    <row r="81" customFormat="false" ht="15" hidden="false" customHeight="false" outlineLevel="0" collapsed="false">
      <c r="A81" s="10"/>
      <c r="B81" s="9"/>
      <c r="C81" s="9"/>
      <c r="D81" s="16"/>
      <c r="E81" s="17"/>
      <c r="F81" s="16"/>
      <c r="G81" s="17"/>
      <c r="H81" s="16"/>
      <c r="I81" s="17"/>
      <c r="J81" s="10"/>
      <c r="K81" s="16"/>
      <c r="L81" s="17"/>
      <c r="M81" s="16"/>
      <c r="N81" s="16"/>
      <c r="O81" s="9"/>
    </row>
    <row r="82" customFormat="false" ht="15" hidden="false" customHeight="false" outlineLevel="0" collapsed="false">
      <c r="A82" s="10"/>
      <c r="B82" s="9"/>
      <c r="C82" s="9"/>
      <c r="D82" s="16"/>
      <c r="E82" s="17"/>
      <c r="F82" s="16"/>
      <c r="G82" s="17"/>
      <c r="H82" s="16"/>
      <c r="I82" s="17"/>
      <c r="J82" s="10"/>
      <c r="K82" s="16"/>
      <c r="L82" s="17"/>
      <c r="M82" s="16"/>
      <c r="N82" s="16"/>
      <c r="O82" s="9"/>
    </row>
    <row r="83" customFormat="false" ht="15" hidden="false" customHeight="false" outlineLevel="0" collapsed="false">
      <c r="A83" s="10"/>
      <c r="B83" s="9"/>
      <c r="C83" s="9"/>
      <c r="D83" s="16"/>
      <c r="E83" s="17"/>
      <c r="F83" s="16"/>
      <c r="G83" s="17"/>
      <c r="H83" s="16"/>
      <c r="I83" s="17"/>
      <c r="J83" s="10"/>
      <c r="K83" s="16"/>
      <c r="L83" s="17"/>
      <c r="M83" s="16"/>
      <c r="N83" s="16"/>
      <c r="O83" s="9"/>
    </row>
    <row r="84" customFormat="false" ht="15" hidden="false" customHeight="false" outlineLevel="0" collapsed="false">
      <c r="A84" s="10"/>
      <c r="B84" s="9"/>
      <c r="C84" s="9"/>
      <c r="D84" s="16"/>
      <c r="E84" s="17"/>
      <c r="F84" s="16"/>
      <c r="G84" s="17"/>
      <c r="H84" s="16"/>
      <c r="I84" s="17"/>
      <c r="J84" s="10"/>
      <c r="K84" s="16"/>
      <c r="L84" s="17"/>
      <c r="M84" s="16"/>
      <c r="N84" s="16"/>
      <c r="O84" s="9"/>
    </row>
    <row r="85" customFormat="false" ht="15" hidden="false" customHeight="false" outlineLevel="0" collapsed="false">
      <c r="A85" s="10"/>
      <c r="B85" s="9"/>
      <c r="C85" s="9"/>
      <c r="D85" s="16"/>
      <c r="E85" s="17"/>
      <c r="F85" s="16"/>
      <c r="G85" s="17"/>
      <c r="H85" s="16"/>
      <c r="I85" s="17"/>
      <c r="J85" s="10"/>
      <c r="K85" s="16"/>
      <c r="L85" s="17"/>
      <c r="M85" s="16"/>
      <c r="N85" s="16"/>
      <c r="O85" s="9"/>
    </row>
    <row r="86" customFormat="false" ht="15" hidden="false" customHeight="false" outlineLevel="0" collapsed="false">
      <c r="A86" s="10"/>
      <c r="B86" s="9"/>
      <c r="C86" s="9"/>
      <c r="D86" s="16"/>
      <c r="E86" s="17"/>
      <c r="F86" s="16"/>
      <c r="G86" s="17"/>
      <c r="H86" s="16"/>
      <c r="I86" s="17"/>
      <c r="J86" s="10"/>
      <c r="K86" s="16"/>
      <c r="L86" s="17"/>
      <c r="M86" s="16"/>
      <c r="N86" s="16"/>
      <c r="O86" s="9"/>
    </row>
    <row r="87" customFormat="false" ht="15" hidden="false" customHeight="false" outlineLevel="0" collapsed="false">
      <c r="A87" s="10"/>
      <c r="B87" s="9"/>
      <c r="C87" s="9"/>
      <c r="D87" s="16"/>
      <c r="E87" s="17"/>
      <c r="F87" s="16"/>
      <c r="G87" s="17"/>
      <c r="H87" s="16"/>
      <c r="I87" s="17"/>
      <c r="J87" s="10"/>
      <c r="K87" s="16"/>
      <c r="L87" s="17"/>
      <c r="M87" s="16"/>
      <c r="N87" s="16"/>
      <c r="O87" s="9"/>
    </row>
    <row r="88" customFormat="false" ht="15" hidden="false" customHeight="false" outlineLevel="0" collapsed="false">
      <c r="A88" s="10"/>
      <c r="B88" s="9"/>
      <c r="C88" s="9"/>
      <c r="D88" s="16"/>
      <c r="E88" s="17"/>
      <c r="F88" s="16"/>
      <c r="G88" s="17"/>
      <c r="H88" s="16"/>
      <c r="I88" s="17"/>
      <c r="J88" s="10"/>
      <c r="K88" s="16"/>
      <c r="L88" s="17"/>
      <c r="M88" s="16"/>
      <c r="N88" s="16"/>
      <c r="O88" s="9"/>
    </row>
    <row r="89" customFormat="false" ht="15" hidden="false" customHeight="false" outlineLevel="0" collapsed="false">
      <c r="A89" s="10"/>
      <c r="B89" s="9"/>
      <c r="C89" s="9"/>
      <c r="D89" s="16"/>
      <c r="E89" s="17"/>
      <c r="F89" s="16"/>
      <c r="G89" s="17"/>
      <c r="H89" s="16"/>
      <c r="I89" s="17"/>
      <c r="J89" s="10"/>
      <c r="K89" s="16"/>
      <c r="L89" s="17"/>
      <c r="M89" s="16"/>
      <c r="N89" s="16"/>
      <c r="O89" s="9"/>
    </row>
    <row r="90" customFormat="false" ht="15" hidden="false" customHeight="false" outlineLevel="0" collapsed="false">
      <c r="A90" s="10"/>
      <c r="B90" s="9"/>
      <c r="C90" s="9"/>
      <c r="D90" s="16"/>
      <c r="E90" s="17"/>
      <c r="F90" s="16"/>
      <c r="G90" s="17"/>
      <c r="H90" s="16"/>
      <c r="I90" s="17"/>
      <c r="J90" s="10"/>
      <c r="K90" s="16"/>
      <c r="L90" s="17"/>
      <c r="M90" s="16"/>
      <c r="N90" s="16"/>
      <c r="O90" s="9"/>
    </row>
    <row r="91" customFormat="false" ht="15" hidden="false" customHeight="false" outlineLevel="0" collapsed="false">
      <c r="A91" s="10"/>
      <c r="B91" s="9"/>
      <c r="C91" s="9"/>
      <c r="D91" s="16"/>
      <c r="E91" s="17"/>
      <c r="F91" s="16"/>
      <c r="G91" s="17"/>
      <c r="H91" s="16"/>
      <c r="I91" s="17"/>
      <c r="J91" s="10"/>
      <c r="K91" s="16"/>
      <c r="L91" s="17"/>
      <c r="M91" s="16"/>
      <c r="N91" s="16"/>
      <c r="O91" s="9"/>
    </row>
    <row r="92" customFormat="false" ht="15" hidden="false" customHeight="false" outlineLevel="0" collapsed="false">
      <c r="A92" s="10"/>
      <c r="B92" s="9"/>
      <c r="C92" s="9"/>
      <c r="D92" s="16"/>
      <c r="E92" s="17"/>
      <c r="F92" s="16"/>
      <c r="G92" s="17"/>
      <c r="H92" s="16"/>
      <c r="I92" s="17"/>
      <c r="J92" s="10"/>
      <c r="K92" s="16"/>
      <c r="L92" s="17"/>
      <c r="M92" s="16"/>
      <c r="N92" s="16"/>
      <c r="O92" s="9"/>
    </row>
    <row r="93" customFormat="false" ht="15" hidden="false" customHeight="false" outlineLevel="0" collapsed="false">
      <c r="A93" s="10"/>
      <c r="B93" s="9"/>
      <c r="C93" s="9"/>
      <c r="D93" s="16"/>
      <c r="E93" s="17"/>
      <c r="F93" s="16"/>
      <c r="G93" s="17"/>
      <c r="H93" s="16"/>
      <c r="I93" s="17"/>
      <c r="J93" s="10"/>
      <c r="K93" s="16"/>
      <c r="L93" s="17"/>
      <c r="M93" s="16"/>
      <c r="N93" s="16"/>
      <c r="O93" s="9"/>
    </row>
    <row r="94" customFormat="false" ht="15" hidden="false" customHeight="false" outlineLevel="0" collapsed="false">
      <c r="A94" s="10"/>
      <c r="B94" s="9"/>
      <c r="C94" s="9"/>
      <c r="D94" s="16"/>
      <c r="E94" s="17"/>
      <c r="F94" s="16"/>
      <c r="G94" s="17"/>
      <c r="H94" s="16"/>
      <c r="I94" s="17"/>
      <c r="J94" s="10"/>
      <c r="K94" s="16"/>
      <c r="L94" s="17"/>
      <c r="M94" s="16"/>
      <c r="N94" s="16"/>
      <c r="O94" s="9"/>
    </row>
    <row r="95" customFormat="false" ht="15" hidden="false" customHeight="false" outlineLevel="0" collapsed="false">
      <c r="A95" s="10"/>
      <c r="B95" s="9"/>
      <c r="C95" s="9"/>
      <c r="D95" s="16"/>
      <c r="E95" s="17"/>
      <c r="F95" s="16"/>
      <c r="G95" s="17"/>
      <c r="H95" s="16"/>
      <c r="I95" s="17"/>
      <c r="J95" s="10"/>
      <c r="K95" s="16"/>
      <c r="L95" s="17"/>
      <c r="M95" s="16"/>
      <c r="N95" s="16"/>
      <c r="O95" s="9"/>
    </row>
    <row r="96" customFormat="false" ht="15" hidden="false" customHeight="false" outlineLevel="0" collapsed="false">
      <c r="A96" s="10"/>
      <c r="B96" s="9"/>
      <c r="C96" s="9"/>
      <c r="D96" s="16"/>
      <c r="E96" s="17"/>
      <c r="F96" s="16"/>
      <c r="G96" s="17"/>
      <c r="H96" s="16"/>
      <c r="I96" s="17"/>
      <c r="J96" s="10"/>
      <c r="K96" s="16"/>
      <c r="L96" s="17"/>
      <c r="M96" s="16"/>
      <c r="N96" s="16"/>
      <c r="O96" s="9"/>
    </row>
    <row r="97" customFormat="false" ht="15" hidden="false" customHeight="false" outlineLevel="0" collapsed="false">
      <c r="A97" s="10"/>
      <c r="B97" s="9"/>
      <c r="C97" s="9"/>
      <c r="D97" s="16"/>
      <c r="E97" s="17"/>
      <c r="F97" s="16"/>
      <c r="G97" s="17"/>
      <c r="H97" s="16"/>
      <c r="I97" s="17"/>
      <c r="J97" s="10"/>
      <c r="K97" s="16"/>
      <c r="L97" s="17"/>
      <c r="M97" s="16"/>
      <c r="N97" s="16"/>
      <c r="O97" s="9"/>
    </row>
    <row r="98" customFormat="false" ht="15" hidden="false" customHeight="false" outlineLevel="0" collapsed="false">
      <c r="A98" s="10"/>
      <c r="B98" s="9"/>
      <c r="C98" s="9"/>
      <c r="D98" s="16"/>
      <c r="E98" s="17"/>
      <c r="F98" s="16"/>
      <c r="G98" s="17"/>
      <c r="H98" s="16"/>
      <c r="I98" s="17"/>
      <c r="J98" s="10"/>
      <c r="K98" s="16"/>
      <c r="L98" s="17"/>
      <c r="M98" s="16"/>
      <c r="N98" s="16"/>
      <c r="O98" s="9"/>
    </row>
    <row r="99" customFormat="false" ht="15" hidden="false" customHeight="false" outlineLevel="0" collapsed="false">
      <c r="A99" s="10"/>
      <c r="B99" s="9"/>
      <c r="C99" s="9"/>
      <c r="D99" s="16"/>
      <c r="E99" s="17"/>
      <c r="F99" s="16"/>
      <c r="G99" s="17"/>
      <c r="H99" s="16"/>
      <c r="I99" s="17"/>
      <c r="J99" s="10"/>
      <c r="K99" s="16"/>
      <c r="L99" s="17"/>
      <c r="M99" s="16"/>
      <c r="N99" s="16"/>
      <c r="O99" s="9"/>
    </row>
    <row r="100" customFormat="false" ht="15" hidden="false" customHeight="false" outlineLevel="0" collapsed="false">
      <c r="A100" s="10"/>
      <c r="B100" s="9"/>
      <c r="C100" s="9"/>
      <c r="D100" s="16"/>
      <c r="E100" s="17"/>
      <c r="F100" s="16"/>
      <c r="G100" s="17"/>
      <c r="H100" s="16"/>
      <c r="I100" s="17"/>
      <c r="J100" s="10"/>
      <c r="K100" s="16"/>
      <c r="L100" s="17"/>
      <c r="M100" s="16"/>
      <c r="N100" s="16"/>
      <c r="O100" s="9"/>
    </row>
    <row r="101" customFormat="false" ht="15" hidden="false" customHeight="false" outlineLevel="0" collapsed="false">
      <c r="A101" s="10"/>
      <c r="B101" s="9"/>
      <c r="C101" s="9"/>
      <c r="D101" s="16"/>
      <c r="E101" s="17"/>
      <c r="F101" s="16"/>
      <c r="G101" s="17"/>
      <c r="H101" s="16"/>
      <c r="I101" s="17"/>
      <c r="J101" s="10"/>
      <c r="K101" s="16"/>
      <c r="L101" s="17"/>
      <c r="M101" s="16"/>
      <c r="N101" s="16"/>
      <c r="O101" s="9"/>
    </row>
    <row r="102" customFormat="false" ht="15" hidden="false" customHeight="false" outlineLevel="0" collapsed="false">
      <c r="A102" s="10"/>
      <c r="B102" s="9"/>
      <c r="C102" s="9"/>
      <c r="D102" s="16"/>
      <c r="E102" s="17"/>
      <c r="F102" s="16"/>
      <c r="G102" s="17"/>
      <c r="H102" s="16"/>
      <c r="I102" s="17"/>
      <c r="J102" s="10"/>
      <c r="K102" s="16"/>
      <c r="L102" s="17"/>
      <c r="M102" s="16"/>
      <c r="N102" s="16"/>
      <c r="O102" s="9"/>
    </row>
    <row r="103" customFormat="false" ht="15" hidden="false" customHeight="false" outlineLevel="0" collapsed="false">
      <c r="A103" s="10"/>
      <c r="B103" s="9"/>
      <c r="C103" s="9"/>
      <c r="D103" s="16"/>
      <c r="E103" s="17"/>
      <c r="F103" s="16"/>
      <c r="G103" s="17"/>
      <c r="H103" s="16"/>
      <c r="I103" s="17"/>
      <c r="J103" s="10"/>
      <c r="K103" s="16"/>
      <c r="L103" s="17"/>
      <c r="M103" s="16"/>
      <c r="N103" s="16"/>
      <c r="O103" s="9"/>
    </row>
    <row r="104" customFormat="false" ht="15" hidden="false" customHeight="false" outlineLevel="0" collapsed="false">
      <c r="A104" s="10"/>
      <c r="B104" s="9"/>
      <c r="C104" s="9"/>
      <c r="D104" s="16"/>
      <c r="E104" s="17"/>
      <c r="F104" s="16"/>
      <c r="G104" s="17"/>
      <c r="H104" s="16"/>
      <c r="I104" s="17"/>
      <c r="J104" s="10"/>
      <c r="K104" s="16"/>
      <c r="L104" s="17"/>
      <c r="M104" s="16"/>
      <c r="N104" s="16"/>
      <c r="O104" s="9"/>
    </row>
    <row r="105" customFormat="false" ht="15" hidden="false" customHeight="false" outlineLevel="0" collapsed="false">
      <c r="A105" s="10"/>
      <c r="B105" s="9"/>
      <c r="C105" s="9"/>
      <c r="D105" s="16"/>
      <c r="E105" s="17"/>
      <c r="F105" s="16"/>
      <c r="G105" s="17"/>
      <c r="H105" s="16"/>
      <c r="I105" s="17"/>
      <c r="J105" s="10"/>
      <c r="K105" s="16"/>
      <c r="L105" s="17"/>
      <c r="M105" s="16"/>
      <c r="N105" s="16"/>
      <c r="O105" s="9"/>
    </row>
    <row r="106" customFormat="false" ht="15" hidden="false" customHeight="false" outlineLevel="0" collapsed="false">
      <c r="A106" s="10"/>
      <c r="B106" s="9"/>
      <c r="C106" s="9"/>
      <c r="D106" s="16"/>
      <c r="E106" s="17"/>
      <c r="F106" s="16"/>
      <c r="G106" s="17"/>
      <c r="H106" s="16"/>
      <c r="I106" s="17"/>
      <c r="J106" s="10"/>
      <c r="K106" s="16"/>
      <c r="L106" s="17"/>
      <c r="M106" s="16"/>
      <c r="N106" s="16"/>
      <c r="O106" s="9"/>
    </row>
    <row r="107" customFormat="false" ht="15" hidden="false" customHeight="false" outlineLevel="0" collapsed="false">
      <c r="A107" s="10"/>
      <c r="B107" s="9"/>
      <c r="C107" s="9"/>
      <c r="D107" s="16"/>
      <c r="E107" s="17"/>
      <c r="F107" s="16"/>
      <c r="G107" s="17"/>
      <c r="H107" s="16"/>
      <c r="I107" s="17"/>
      <c r="J107" s="10"/>
      <c r="K107" s="16"/>
      <c r="L107" s="17"/>
      <c r="M107" s="16"/>
      <c r="N107" s="16"/>
      <c r="O107" s="9"/>
    </row>
    <row r="108" customFormat="false" ht="15" hidden="false" customHeight="false" outlineLevel="0" collapsed="false">
      <c r="A108" s="10"/>
      <c r="B108" s="9"/>
      <c r="C108" s="9"/>
      <c r="D108" s="16"/>
      <c r="E108" s="17"/>
      <c r="F108" s="16"/>
      <c r="G108" s="17"/>
      <c r="H108" s="16"/>
      <c r="I108" s="17"/>
      <c r="J108" s="10"/>
      <c r="K108" s="16"/>
      <c r="L108" s="17"/>
      <c r="M108" s="16"/>
      <c r="N108" s="16"/>
      <c r="O108" s="9"/>
    </row>
    <row r="109" customFormat="false" ht="15" hidden="false" customHeight="false" outlineLevel="0" collapsed="false">
      <c r="A109" s="10"/>
      <c r="B109" s="9"/>
      <c r="C109" s="9"/>
      <c r="D109" s="16"/>
      <c r="E109" s="17"/>
      <c r="F109" s="16"/>
      <c r="G109" s="17"/>
      <c r="H109" s="16"/>
      <c r="I109" s="17"/>
      <c r="J109" s="10"/>
      <c r="K109" s="16"/>
      <c r="L109" s="17"/>
      <c r="M109" s="16"/>
      <c r="N109" s="16"/>
      <c r="O109" s="9"/>
    </row>
    <row r="110" customFormat="false" ht="15" hidden="false" customHeight="false" outlineLevel="0" collapsed="false">
      <c r="A110" s="10"/>
      <c r="B110" s="9"/>
      <c r="C110" s="9"/>
      <c r="D110" s="16"/>
      <c r="E110" s="17"/>
      <c r="F110" s="16"/>
      <c r="G110" s="17"/>
      <c r="H110" s="16"/>
      <c r="I110" s="17"/>
      <c r="J110" s="10"/>
      <c r="K110" s="16"/>
      <c r="L110" s="17"/>
      <c r="M110" s="16"/>
      <c r="N110" s="16"/>
      <c r="O110" s="9"/>
    </row>
    <row r="111" customFormat="false" ht="15" hidden="false" customHeight="false" outlineLevel="0" collapsed="false">
      <c r="A111" s="10"/>
      <c r="B111" s="9"/>
      <c r="C111" s="9"/>
      <c r="D111" s="16"/>
      <c r="E111" s="17"/>
      <c r="F111" s="16"/>
      <c r="G111" s="17"/>
      <c r="H111" s="16"/>
      <c r="I111" s="17"/>
      <c r="J111" s="10"/>
      <c r="K111" s="16"/>
      <c r="L111" s="17"/>
      <c r="M111" s="16"/>
      <c r="N111" s="16"/>
      <c r="O111" s="9"/>
    </row>
    <row r="112" customFormat="false" ht="15" hidden="false" customHeight="false" outlineLevel="0" collapsed="false">
      <c r="A112" s="10"/>
      <c r="B112" s="9"/>
      <c r="C112" s="9"/>
      <c r="D112" s="16"/>
      <c r="E112" s="17"/>
      <c r="F112" s="16"/>
      <c r="G112" s="17"/>
      <c r="H112" s="16"/>
      <c r="I112" s="17"/>
      <c r="J112" s="10"/>
      <c r="K112" s="16"/>
      <c r="L112" s="17"/>
      <c r="M112" s="16"/>
      <c r="N112" s="16"/>
      <c r="O112" s="9"/>
    </row>
    <row r="113" customFormat="false" ht="15" hidden="false" customHeight="false" outlineLevel="0" collapsed="false">
      <c r="A113" s="10"/>
      <c r="B113" s="9"/>
      <c r="C113" s="9"/>
      <c r="D113" s="16"/>
      <c r="E113" s="17"/>
      <c r="F113" s="16"/>
      <c r="G113" s="17"/>
      <c r="H113" s="16"/>
      <c r="I113" s="17"/>
      <c r="J113" s="10"/>
      <c r="K113" s="16"/>
      <c r="L113" s="17"/>
      <c r="M113" s="16"/>
      <c r="N113" s="16"/>
      <c r="O113" s="9"/>
    </row>
    <row r="114" customFormat="false" ht="15" hidden="false" customHeight="false" outlineLevel="0" collapsed="false">
      <c r="A114" s="10"/>
      <c r="B114" s="9"/>
      <c r="C114" s="9"/>
      <c r="D114" s="16"/>
      <c r="E114" s="17"/>
      <c r="F114" s="16"/>
      <c r="G114" s="17"/>
      <c r="H114" s="16"/>
      <c r="I114" s="17"/>
      <c r="J114" s="10"/>
      <c r="K114" s="16"/>
      <c r="L114" s="17"/>
      <c r="M114" s="16"/>
      <c r="N114" s="16"/>
      <c r="O114" s="9"/>
    </row>
    <row r="115" customFormat="false" ht="15" hidden="false" customHeight="false" outlineLevel="0" collapsed="false">
      <c r="A115" s="10"/>
      <c r="B115" s="9"/>
      <c r="C115" s="9"/>
      <c r="D115" s="16"/>
      <c r="E115" s="17"/>
      <c r="F115" s="16"/>
      <c r="G115" s="17"/>
      <c r="H115" s="16"/>
      <c r="I115" s="17"/>
      <c r="J115" s="10"/>
      <c r="K115" s="16"/>
      <c r="L115" s="17"/>
      <c r="M115" s="16"/>
      <c r="N115" s="16"/>
      <c r="O115" s="9"/>
    </row>
    <row r="116" customFormat="false" ht="15" hidden="false" customHeight="false" outlineLevel="0" collapsed="false">
      <c r="A116" s="10"/>
      <c r="B116" s="9"/>
      <c r="C116" s="9"/>
      <c r="D116" s="16"/>
      <c r="E116" s="17"/>
      <c r="F116" s="16"/>
      <c r="G116" s="17"/>
      <c r="H116" s="16"/>
      <c r="I116" s="17"/>
      <c r="J116" s="10"/>
      <c r="K116" s="16"/>
      <c r="L116" s="17"/>
      <c r="M116" s="16"/>
      <c r="N116" s="16"/>
      <c r="O116" s="9"/>
    </row>
    <row r="117" customFormat="false" ht="15" hidden="false" customHeight="false" outlineLevel="0" collapsed="false">
      <c r="A117" s="10"/>
      <c r="B117" s="9"/>
      <c r="C117" s="9"/>
      <c r="D117" s="16"/>
      <c r="E117" s="17"/>
      <c r="F117" s="16"/>
      <c r="G117" s="17"/>
      <c r="H117" s="16"/>
      <c r="I117" s="17"/>
      <c r="J117" s="10"/>
      <c r="K117" s="16"/>
      <c r="L117" s="17"/>
      <c r="M117" s="16"/>
      <c r="N117" s="16"/>
      <c r="O117" s="9"/>
    </row>
    <row r="118" customFormat="false" ht="15" hidden="false" customHeight="false" outlineLevel="0" collapsed="false">
      <c r="A118" s="10"/>
      <c r="B118" s="9"/>
      <c r="C118" s="9"/>
      <c r="D118" s="16"/>
      <c r="E118" s="17"/>
      <c r="F118" s="16"/>
      <c r="G118" s="17"/>
      <c r="H118" s="16"/>
      <c r="I118" s="17"/>
      <c r="J118" s="10"/>
      <c r="K118" s="16"/>
      <c r="L118" s="17"/>
      <c r="M118" s="16"/>
      <c r="N118" s="16"/>
      <c r="O118" s="9"/>
    </row>
    <row r="119" customFormat="false" ht="15" hidden="false" customHeight="false" outlineLevel="0" collapsed="false">
      <c r="A119" s="10"/>
      <c r="B119" s="9"/>
      <c r="C119" s="9"/>
      <c r="D119" s="16"/>
      <c r="E119" s="17"/>
      <c r="F119" s="16"/>
      <c r="G119" s="17"/>
      <c r="H119" s="16"/>
      <c r="I119" s="17"/>
      <c r="J119" s="10"/>
      <c r="K119" s="16"/>
      <c r="L119" s="17"/>
      <c r="M119" s="16"/>
      <c r="N119" s="16"/>
      <c r="O119" s="9"/>
    </row>
    <row r="120" customFormat="false" ht="15" hidden="false" customHeight="false" outlineLevel="0" collapsed="false">
      <c r="A120" s="10"/>
      <c r="B120" s="9"/>
      <c r="C120" s="9"/>
      <c r="D120" s="16"/>
      <c r="E120" s="17"/>
      <c r="F120" s="16"/>
      <c r="G120" s="17"/>
      <c r="H120" s="16"/>
      <c r="I120" s="17"/>
      <c r="J120" s="10"/>
      <c r="K120" s="16"/>
      <c r="L120" s="17"/>
      <c r="M120" s="16"/>
      <c r="N120" s="16"/>
      <c r="O120" s="9"/>
    </row>
    <row r="121" customFormat="false" ht="15" hidden="false" customHeight="false" outlineLevel="0" collapsed="false">
      <c r="A121" s="10"/>
      <c r="B121" s="9"/>
      <c r="C121" s="9"/>
      <c r="D121" s="16"/>
      <c r="E121" s="17"/>
      <c r="F121" s="16"/>
      <c r="G121" s="17"/>
      <c r="H121" s="16"/>
      <c r="I121" s="17"/>
      <c r="J121" s="10"/>
      <c r="K121" s="16"/>
      <c r="L121" s="17"/>
      <c r="M121" s="16"/>
      <c r="N121" s="16"/>
      <c r="O121" s="9"/>
    </row>
    <row r="122" customFormat="false" ht="15" hidden="false" customHeight="false" outlineLevel="0" collapsed="false">
      <c r="A122" s="10"/>
      <c r="B122" s="9"/>
      <c r="C122" s="9"/>
      <c r="D122" s="16"/>
      <c r="E122" s="17"/>
      <c r="F122" s="16"/>
      <c r="G122" s="17"/>
      <c r="H122" s="16"/>
      <c r="I122" s="17"/>
      <c r="J122" s="10"/>
      <c r="K122" s="16"/>
      <c r="L122" s="17"/>
      <c r="M122" s="16"/>
      <c r="N122" s="16"/>
      <c r="O122" s="9"/>
    </row>
    <row r="123" customFormat="false" ht="15" hidden="false" customHeight="false" outlineLevel="0" collapsed="false">
      <c r="A123" s="10"/>
      <c r="B123" s="9"/>
      <c r="C123" s="9"/>
      <c r="D123" s="16"/>
      <c r="E123" s="17"/>
      <c r="F123" s="16"/>
      <c r="G123" s="17"/>
      <c r="H123" s="16"/>
      <c r="I123" s="17"/>
      <c r="J123" s="10"/>
      <c r="K123" s="16"/>
      <c r="L123" s="17"/>
      <c r="M123" s="16"/>
      <c r="N123" s="16"/>
      <c r="O123" s="9"/>
    </row>
    <row r="124" customFormat="false" ht="15" hidden="false" customHeight="false" outlineLevel="0" collapsed="false">
      <c r="A124" s="10"/>
      <c r="B124" s="9"/>
      <c r="C124" s="9"/>
      <c r="D124" s="16"/>
      <c r="E124" s="17"/>
      <c r="F124" s="16"/>
      <c r="G124" s="17"/>
      <c r="H124" s="16"/>
      <c r="I124" s="17"/>
      <c r="J124" s="10"/>
      <c r="K124" s="16"/>
      <c r="L124" s="17"/>
      <c r="M124" s="16"/>
      <c r="N124" s="16"/>
      <c r="O124" s="9"/>
    </row>
    <row r="125" customFormat="false" ht="15" hidden="false" customHeight="false" outlineLevel="0" collapsed="false">
      <c r="A125" s="10"/>
      <c r="B125" s="9"/>
      <c r="C125" s="9"/>
      <c r="D125" s="16"/>
      <c r="E125" s="17"/>
      <c r="F125" s="16"/>
      <c r="G125" s="17"/>
      <c r="H125" s="16"/>
      <c r="I125" s="17"/>
      <c r="J125" s="10"/>
      <c r="K125" s="16"/>
      <c r="L125" s="17"/>
      <c r="M125" s="16"/>
      <c r="N125" s="16"/>
      <c r="O125" s="9"/>
    </row>
    <row r="126" customFormat="false" ht="15" hidden="false" customHeight="false" outlineLevel="0" collapsed="false">
      <c r="A126" s="10"/>
      <c r="B126" s="9"/>
      <c r="C126" s="9"/>
      <c r="D126" s="16"/>
      <c r="E126" s="17"/>
      <c r="F126" s="16"/>
      <c r="G126" s="17"/>
      <c r="H126" s="16"/>
      <c r="I126" s="17"/>
      <c r="J126" s="10"/>
      <c r="K126" s="16"/>
      <c r="L126" s="17"/>
      <c r="M126" s="16"/>
      <c r="N126" s="16"/>
      <c r="O126" s="9"/>
    </row>
    <row r="127" customFormat="false" ht="15" hidden="false" customHeight="false" outlineLevel="0" collapsed="false">
      <c r="A127" s="10"/>
      <c r="B127" s="9"/>
      <c r="C127" s="9"/>
      <c r="D127" s="16"/>
      <c r="E127" s="17"/>
      <c r="F127" s="16"/>
      <c r="G127" s="17"/>
      <c r="H127" s="16"/>
      <c r="I127" s="17"/>
      <c r="J127" s="10"/>
      <c r="K127" s="16"/>
      <c r="L127" s="17"/>
      <c r="M127" s="16"/>
      <c r="N127" s="16"/>
      <c r="O127" s="9"/>
    </row>
    <row r="128" customFormat="false" ht="15" hidden="false" customHeight="false" outlineLevel="0" collapsed="false">
      <c r="A128" s="10"/>
      <c r="B128" s="9"/>
      <c r="C128" s="9"/>
      <c r="D128" s="16"/>
      <c r="E128" s="17"/>
      <c r="F128" s="16"/>
      <c r="G128" s="17"/>
      <c r="H128" s="16"/>
      <c r="I128" s="17"/>
      <c r="J128" s="10"/>
      <c r="K128" s="16"/>
      <c r="L128" s="17"/>
      <c r="M128" s="16"/>
      <c r="N128" s="16"/>
      <c r="O128" s="9"/>
    </row>
    <row r="129" customFormat="false" ht="15" hidden="false" customHeight="false" outlineLevel="0" collapsed="false">
      <c r="A129" s="10"/>
      <c r="B129" s="9"/>
      <c r="C129" s="9"/>
      <c r="D129" s="16"/>
      <c r="E129" s="17"/>
      <c r="F129" s="16"/>
      <c r="G129" s="17"/>
      <c r="H129" s="16"/>
      <c r="I129" s="17"/>
      <c r="J129" s="10"/>
      <c r="K129" s="16"/>
      <c r="L129" s="17"/>
      <c r="M129" s="16"/>
      <c r="N129" s="16"/>
      <c r="O129" s="9"/>
    </row>
    <row r="130" customFormat="false" ht="15" hidden="false" customHeight="false" outlineLevel="0" collapsed="false">
      <c r="A130" s="10"/>
      <c r="B130" s="9"/>
      <c r="C130" s="9"/>
      <c r="D130" s="16"/>
      <c r="E130" s="17"/>
      <c r="F130" s="16"/>
      <c r="G130" s="17"/>
      <c r="H130" s="16"/>
      <c r="I130" s="17"/>
      <c r="J130" s="10"/>
      <c r="K130" s="16"/>
      <c r="L130" s="17"/>
      <c r="M130" s="16"/>
      <c r="N130" s="16"/>
      <c r="O130" s="9"/>
    </row>
    <row r="131" customFormat="false" ht="15" hidden="false" customHeight="false" outlineLevel="0" collapsed="false">
      <c r="A131" s="10"/>
      <c r="B131" s="9"/>
      <c r="C131" s="9"/>
      <c r="D131" s="16"/>
      <c r="E131" s="17"/>
      <c r="F131" s="16"/>
      <c r="G131" s="17"/>
      <c r="H131" s="16"/>
      <c r="I131" s="17"/>
      <c r="J131" s="10"/>
      <c r="K131" s="16"/>
      <c r="L131" s="17"/>
      <c r="M131" s="16"/>
      <c r="N131" s="16"/>
      <c r="O131" s="9"/>
    </row>
    <row r="132" customFormat="false" ht="15" hidden="false" customHeight="false" outlineLevel="0" collapsed="false">
      <c r="A132" s="10"/>
      <c r="B132" s="9"/>
      <c r="C132" s="9"/>
      <c r="D132" s="16"/>
      <c r="E132" s="17"/>
      <c r="F132" s="16"/>
      <c r="G132" s="17"/>
      <c r="H132" s="16"/>
      <c r="I132" s="17"/>
      <c r="J132" s="10"/>
      <c r="K132" s="16"/>
      <c r="L132" s="17"/>
      <c r="M132" s="16"/>
      <c r="N132" s="16"/>
      <c r="O132" s="9"/>
    </row>
    <row r="133" customFormat="false" ht="15" hidden="false" customHeight="false" outlineLevel="0" collapsed="false">
      <c r="A133" s="10"/>
      <c r="B133" s="9"/>
      <c r="C133" s="9"/>
      <c r="D133" s="16"/>
      <c r="E133" s="17"/>
      <c r="F133" s="16"/>
      <c r="G133" s="17"/>
      <c r="H133" s="16"/>
      <c r="I133" s="17"/>
      <c r="J133" s="10"/>
      <c r="K133" s="16"/>
      <c r="L133" s="17"/>
      <c r="M133" s="16"/>
      <c r="N133" s="16"/>
      <c r="O133" s="9"/>
    </row>
    <row r="134" customFormat="false" ht="15" hidden="false" customHeight="false" outlineLevel="0" collapsed="false">
      <c r="A134" s="10"/>
      <c r="B134" s="9"/>
      <c r="C134" s="9"/>
      <c r="D134" s="16"/>
      <c r="E134" s="17"/>
      <c r="F134" s="16"/>
      <c r="G134" s="17"/>
      <c r="H134" s="16"/>
      <c r="I134" s="17"/>
      <c r="J134" s="10"/>
      <c r="K134" s="16"/>
      <c r="L134" s="17"/>
      <c r="M134" s="16"/>
      <c r="N134" s="16"/>
      <c r="O134" s="9"/>
    </row>
    <row r="135" customFormat="false" ht="15" hidden="false" customHeight="false" outlineLevel="0" collapsed="false">
      <c r="A135" s="10"/>
      <c r="B135" s="9"/>
      <c r="C135" s="9"/>
      <c r="D135" s="16"/>
      <c r="E135" s="17"/>
      <c r="F135" s="16"/>
      <c r="G135" s="17"/>
      <c r="H135" s="16"/>
      <c r="I135" s="17"/>
      <c r="J135" s="10"/>
      <c r="K135" s="16"/>
      <c r="L135" s="17"/>
      <c r="M135" s="16"/>
      <c r="N135" s="16"/>
      <c r="O135" s="9"/>
    </row>
    <row r="136" customFormat="false" ht="15" hidden="false" customHeight="false" outlineLevel="0" collapsed="false">
      <c r="A136" s="10"/>
      <c r="B136" s="9"/>
      <c r="C136" s="9"/>
      <c r="D136" s="16"/>
      <c r="E136" s="17"/>
      <c r="F136" s="16"/>
      <c r="G136" s="17"/>
      <c r="H136" s="16"/>
      <c r="I136" s="17"/>
      <c r="J136" s="10"/>
      <c r="K136" s="16"/>
      <c r="L136" s="17"/>
      <c r="M136" s="16"/>
      <c r="N136" s="16"/>
      <c r="O136" s="9"/>
    </row>
    <row r="137" customFormat="false" ht="15" hidden="false" customHeight="false" outlineLevel="0" collapsed="false">
      <c r="A137" s="10"/>
      <c r="B137" s="9"/>
      <c r="C137" s="9"/>
      <c r="D137" s="16"/>
      <c r="E137" s="17"/>
      <c r="F137" s="16"/>
      <c r="G137" s="17"/>
      <c r="H137" s="16"/>
      <c r="I137" s="17"/>
      <c r="J137" s="10"/>
      <c r="K137" s="16"/>
      <c r="L137" s="17"/>
      <c r="M137" s="16"/>
      <c r="N137" s="16"/>
      <c r="O137" s="9"/>
    </row>
    <row r="138" customFormat="false" ht="15" hidden="false" customHeight="false" outlineLevel="0" collapsed="false">
      <c r="A138" s="10"/>
      <c r="B138" s="9"/>
      <c r="C138" s="9"/>
      <c r="D138" s="16"/>
      <c r="E138" s="17"/>
      <c r="F138" s="16"/>
      <c r="G138" s="17"/>
      <c r="H138" s="16"/>
      <c r="I138" s="17"/>
      <c r="J138" s="10"/>
      <c r="K138" s="16"/>
      <c r="L138" s="17"/>
      <c r="M138" s="16"/>
      <c r="N138" s="16"/>
      <c r="O138" s="9"/>
    </row>
    <row r="139" customFormat="false" ht="15" hidden="false" customHeight="false" outlineLevel="0" collapsed="false">
      <c r="A139" s="10"/>
      <c r="B139" s="9"/>
      <c r="C139" s="9"/>
      <c r="D139" s="16"/>
      <c r="E139" s="17"/>
      <c r="F139" s="16"/>
      <c r="G139" s="17"/>
      <c r="H139" s="16"/>
      <c r="I139" s="17"/>
      <c r="J139" s="10"/>
      <c r="K139" s="16"/>
      <c r="L139" s="17"/>
      <c r="M139" s="16"/>
      <c r="N139" s="16"/>
      <c r="O139" s="9"/>
    </row>
    <row r="140" customFormat="false" ht="15" hidden="false" customHeight="false" outlineLevel="0" collapsed="false">
      <c r="A140" s="10"/>
      <c r="B140" s="9"/>
      <c r="C140" s="9"/>
      <c r="D140" s="16"/>
      <c r="E140" s="17"/>
      <c r="F140" s="16"/>
      <c r="G140" s="17"/>
      <c r="H140" s="16"/>
      <c r="I140" s="17"/>
      <c r="J140" s="10"/>
      <c r="K140" s="16"/>
      <c r="L140" s="17"/>
      <c r="M140" s="16"/>
      <c r="N140" s="16"/>
      <c r="O140" s="9"/>
    </row>
    <row r="141" customFormat="false" ht="15" hidden="false" customHeight="false" outlineLevel="0" collapsed="false">
      <c r="A141" s="10"/>
      <c r="B141" s="9"/>
      <c r="C141" s="9"/>
      <c r="D141" s="16"/>
      <c r="E141" s="17"/>
      <c r="F141" s="16"/>
      <c r="G141" s="17"/>
      <c r="H141" s="16"/>
      <c r="I141" s="17"/>
      <c r="J141" s="10"/>
      <c r="K141" s="16"/>
      <c r="L141" s="17"/>
      <c r="M141" s="16"/>
      <c r="N141" s="16"/>
      <c r="O141" s="9"/>
    </row>
    <row r="142" customFormat="false" ht="15" hidden="false" customHeight="false" outlineLevel="0" collapsed="false">
      <c r="A142" s="10"/>
      <c r="B142" s="9"/>
      <c r="C142" s="9"/>
      <c r="D142" s="16"/>
      <c r="E142" s="17"/>
      <c r="F142" s="16"/>
      <c r="G142" s="17"/>
      <c r="H142" s="16"/>
      <c r="I142" s="17"/>
      <c r="J142" s="10"/>
      <c r="K142" s="16"/>
      <c r="L142" s="17"/>
      <c r="M142" s="16"/>
      <c r="N142" s="16"/>
      <c r="O142" s="9"/>
    </row>
    <row r="143" customFormat="false" ht="15" hidden="false" customHeight="false" outlineLevel="0" collapsed="false">
      <c r="A143" s="10"/>
      <c r="B143" s="9"/>
      <c r="C143" s="9"/>
      <c r="D143" s="16"/>
      <c r="E143" s="17"/>
      <c r="F143" s="16"/>
      <c r="G143" s="17"/>
      <c r="H143" s="16"/>
      <c r="I143" s="17"/>
      <c r="J143" s="10"/>
      <c r="K143" s="16"/>
      <c r="L143" s="17"/>
      <c r="M143" s="16"/>
      <c r="N143" s="16"/>
      <c r="O143" s="9"/>
    </row>
    <row r="144" customFormat="false" ht="15" hidden="false" customHeight="false" outlineLevel="0" collapsed="false">
      <c r="A144" s="10"/>
      <c r="B144" s="9"/>
      <c r="C144" s="9"/>
      <c r="D144" s="16"/>
      <c r="E144" s="17"/>
      <c r="F144" s="16"/>
      <c r="G144" s="17"/>
      <c r="H144" s="16"/>
      <c r="I144" s="17"/>
      <c r="J144" s="10"/>
      <c r="K144" s="16"/>
      <c r="L144" s="17"/>
      <c r="M144" s="16"/>
      <c r="N144" s="16"/>
      <c r="O144" s="9"/>
    </row>
    <row r="145" customFormat="false" ht="15" hidden="false" customHeight="false" outlineLevel="0" collapsed="false">
      <c r="A145" s="10"/>
      <c r="B145" s="9"/>
      <c r="C145" s="9"/>
      <c r="D145" s="16"/>
      <c r="E145" s="17"/>
      <c r="F145" s="16"/>
      <c r="G145" s="17"/>
      <c r="H145" s="16"/>
      <c r="I145" s="17"/>
      <c r="J145" s="10"/>
      <c r="K145" s="16"/>
      <c r="L145" s="17"/>
      <c r="M145" s="16"/>
      <c r="N145" s="16"/>
      <c r="O145" s="9"/>
    </row>
    <row r="146" customFormat="false" ht="15" hidden="false" customHeight="false" outlineLevel="0" collapsed="false">
      <c r="A146" s="10"/>
      <c r="B146" s="9"/>
      <c r="C146" s="9"/>
      <c r="D146" s="16"/>
      <c r="E146" s="17"/>
      <c r="F146" s="16"/>
      <c r="G146" s="17"/>
      <c r="H146" s="16"/>
      <c r="I146" s="17"/>
      <c r="J146" s="10"/>
      <c r="K146" s="16"/>
      <c r="L146" s="17"/>
      <c r="M146" s="16"/>
      <c r="N146" s="16"/>
      <c r="O146" s="9"/>
    </row>
    <row r="147" customFormat="false" ht="15" hidden="false" customHeight="false" outlineLevel="0" collapsed="false">
      <c r="A147" s="10"/>
      <c r="B147" s="9"/>
      <c r="C147" s="9"/>
      <c r="D147" s="16"/>
      <c r="E147" s="17"/>
      <c r="F147" s="16"/>
      <c r="G147" s="17"/>
      <c r="H147" s="16"/>
      <c r="I147" s="17"/>
      <c r="J147" s="10"/>
      <c r="K147" s="16"/>
      <c r="L147" s="17"/>
      <c r="M147" s="16"/>
      <c r="N147" s="16"/>
      <c r="O147" s="9"/>
    </row>
    <row r="148" customFormat="false" ht="15" hidden="false" customHeight="false" outlineLevel="0" collapsed="false">
      <c r="A148" s="10"/>
      <c r="B148" s="9"/>
      <c r="C148" s="9"/>
      <c r="D148" s="16"/>
      <c r="E148" s="17"/>
      <c r="F148" s="16"/>
      <c r="G148" s="17"/>
      <c r="H148" s="16"/>
      <c r="I148" s="17"/>
      <c r="J148" s="10"/>
      <c r="K148" s="16"/>
      <c r="L148" s="17"/>
      <c r="M148" s="16"/>
      <c r="N148" s="16"/>
      <c r="O148" s="9"/>
    </row>
    <row r="149" customFormat="false" ht="15" hidden="false" customHeight="false" outlineLevel="0" collapsed="false">
      <c r="A149" s="10"/>
      <c r="B149" s="9"/>
      <c r="C149" s="9"/>
      <c r="D149" s="16"/>
      <c r="E149" s="17"/>
      <c r="F149" s="16"/>
      <c r="G149" s="17"/>
      <c r="H149" s="16"/>
      <c r="I149" s="17"/>
      <c r="J149" s="10"/>
      <c r="K149" s="16"/>
      <c r="L149" s="17"/>
      <c r="M149" s="16"/>
      <c r="N149" s="16"/>
      <c r="O149" s="9"/>
    </row>
    <row r="150" customFormat="false" ht="15" hidden="false" customHeight="false" outlineLevel="0" collapsed="false">
      <c r="A150" s="10"/>
      <c r="B150" s="9"/>
      <c r="C150" s="9"/>
      <c r="D150" s="16"/>
      <c r="E150" s="17"/>
      <c r="F150" s="16"/>
      <c r="G150" s="17"/>
      <c r="H150" s="16"/>
      <c r="I150" s="17"/>
      <c r="J150" s="10"/>
      <c r="K150" s="16"/>
      <c r="L150" s="17"/>
      <c r="M150" s="16"/>
      <c r="N150" s="16"/>
      <c r="O150" s="9"/>
    </row>
    <row r="151" customFormat="false" ht="15" hidden="false" customHeight="false" outlineLevel="0" collapsed="false">
      <c r="A151" s="10"/>
      <c r="B151" s="9"/>
      <c r="C151" s="9"/>
      <c r="D151" s="16"/>
      <c r="E151" s="17"/>
      <c r="F151" s="16"/>
      <c r="G151" s="17"/>
      <c r="H151" s="16"/>
      <c r="I151" s="17"/>
      <c r="J151" s="10"/>
      <c r="K151" s="16"/>
      <c r="L151" s="17"/>
      <c r="M151" s="16"/>
      <c r="N151" s="16"/>
      <c r="O151" s="9"/>
    </row>
    <row r="152" customFormat="false" ht="15" hidden="false" customHeight="false" outlineLevel="0" collapsed="false">
      <c r="A152" s="10"/>
      <c r="B152" s="9"/>
      <c r="C152" s="9"/>
      <c r="D152" s="16"/>
      <c r="E152" s="17"/>
      <c r="F152" s="16"/>
      <c r="G152" s="17"/>
      <c r="H152" s="16"/>
      <c r="I152" s="17"/>
      <c r="J152" s="10"/>
      <c r="K152" s="16"/>
      <c r="L152" s="17"/>
      <c r="M152" s="16"/>
      <c r="N152" s="16"/>
      <c r="O152" s="9"/>
    </row>
    <row r="153" customFormat="false" ht="15" hidden="false" customHeight="false" outlineLevel="0" collapsed="false">
      <c r="A153" s="10"/>
      <c r="B153" s="9"/>
      <c r="C153" s="9"/>
      <c r="D153" s="16"/>
      <c r="E153" s="17"/>
      <c r="F153" s="16"/>
      <c r="G153" s="17"/>
      <c r="H153" s="16"/>
      <c r="I153" s="17"/>
      <c r="J153" s="10"/>
      <c r="K153" s="16"/>
      <c r="L153" s="17"/>
      <c r="M153" s="16"/>
      <c r="N153" s="16"/>
      <c r="O153" s="9"/>
    </row>
  </sheetData>
  <mergeCells count="2">
    <mergeCell ref="A1:O1"/>
    <mergeCell ref="A2:O2"/>
  </mergeCells>
  <conditionalFormatting sqref="F4:F154">
    <cfRule type="cellIs" priority="2" operator="equal" aboveAverage="0" equalAverage="0" bottom="0" percent="0" rank="0" text="" dxfId="0">
      <formula>"Passed"</formula>
    </cfRule>
    <cfRule type="cellIs" priority="3" operator="equal" aboveAverage="0" equalAverage="0" bottom="0" percent="0" rank="0" text="" dxfId="1">
      <formula>"Rejected"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N4:N154">
    <cfRule type="cellIs" priority="5" operator="equal" aboveAverage="0" equalAverage="0" bottom="0" percent="0" rank="0" text="" dxfId="0">
      <formula>"Hired"</formula>
    </cfRule>
    <cfRule type="cellIs" priority="6" operator="equal" aboveAverage="0" equalAverage="0" bottom="0" percent="0" rank="0" text="" dxfId="1">
      <formula>"Rejected"</formula>
    </cfRule>
    <cfRule type="cellIs" priority="7" operator="equal" aboveAverage="0" equalAverage="0" bottom="0" percent="0" rank="0" text="" dxfId="3">
      <formula>"In Pipeline"</formula>
    </cfRule>
    <cfRule type="cellIs" priority="8" operator="equal" aboveAverage="0" equalAverage="0" bottom="0" percent="0" rank="0" text="" dxfId="2">
      <formula>"Withdrawn"</formula>
    </cfRule>
  </conditionalFormatting>
  <conditionalFormatting sqref="K4:K154">
    <cfRule type="cellIs" priority="9" operator="equal" aboveAverage="0" equalAverage="0" bottom="0" percent="0" rank="0" text="" dxfId="1">
      <formula>"No Response"</formula>
    </cfRule>
    <cfRule type="cellIs" priority="10" operator="equal" aboveAverage="0" equalAverage="0" bottom="0" percent="0" rank="0" text="" dxfId="0">
      <formula>"Completed"</formula>
    </cfRule>
  </conditionalFormatting>
  <dataValidations count="6">
    <dataValidation allowBlank="true" error="Please choose a value from the dropdown list." errorStyle="stop" errorTitle="Invalid entry" operator="between" showDropDown="false" showErrorMessage="false" showInputMessage="false" sqref="D4:D154" type="list">
      <formula1>"LinkedIn,Employee Referral,Naukri.com,Company Website,Campus Drive,Indeed,Recruitment Agency"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F4:F154" type="list">
      <formula1>"Passed,Rejected,In Progress,Not Started"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H4:H154" type="list">
      <formula1>"Not Scheduled,HR Round,Technical Round,Managerial Round,Final Round,Completed"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K4:K154" type="list">
      <formula1>"Pending,Scheduled,Completed,No Response"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M4:M154" type="list">
      <formula1>"Not Applicable,Offer Extended,Offer Accepted,Offer Declined,On Hold"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N4:N154" type="list">
      <formula1>"In Pipeline,Hired,Rejected,Withdrawn"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2026-08-11T11:00:49Z</dcterms:created>
  <dc:creator>openpyxl</dc:creator>
  <dc:description/>
  <dc:language>en-US</dc:language>
  <cp:lastModifiedBy/>
  <dcterms:modified xsi:type="dcterms:W3CDTF">2026-08-11T11:00:52Z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